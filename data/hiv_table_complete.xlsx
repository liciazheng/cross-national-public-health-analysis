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firstSheet="2" activeTab="3"/>
  </bookViews>
  <sheets>
    <sheet name="Data" sheetId="1" r:id="rId1"/>
    <sheet name="Table 1HIV" sheetId="3" r:id="rId2"/>
    <sheet name="Table 2 Economic" sheetId="4" r:id="rId3"/>
    <sheet name="Table3" sheetId="5" r:id="rId4"/>
    <sheet name="Grafic" sheetId="6" r:id="rId5"/>
    <sheet name="Series - Metadata"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<sst xmlns="http://schemas.openxmlformats.org/spreadsheetml/2006/main" count="341" uniqueCount="111">
  <si>
    <t>Country Name</t>
  </si>
  <si>
    <t>Country Code</t>
  </si>
  <si>
    <t>Series Name</t>
  </si>
  <si>
    <t>Series Code</t>
  </si>
  <si>
    <t>2007 [YR2007]</t>
  </si>
  <si>
    <t>2008 [YR2008]</t>
  </si>
  <si>
    <t>2009 [YR2009]</t>
  </si>
  <si>
    <t>2010 [YR2010]</t>
  </si>
  <si>
    <t>2011 [YR2011]</t>
  </si>
  <si>
    <t>2012 [YR2012]</t>
  </si>
  <si>
    <t>2013 [YR2013]</t>
  </si>
  <si>
    <t>2014 [YR2014]</t>
  </si>
  <si>
    <t>2015 [YR2015]</t>
  </si>
  <si>
    <t>2016 [YR2016]</t>
  </si>
  <si>
    <t>South Africa</t>
  </si>
  <si>
    <t>ZAF</t>
  </si>
  <si>
    <t>Population, total</t>
  </si>
  <si>
    <t>SP.POP.TOTL</t>
  </si>
  <si>
    <t>GDP (current US$)</t>
  </si>
  <si>
    <t>NY.GDP.MKTP.CD</t>
  </si>
  <si>
    <t>Antiretroviral therapy coverage (% of people living with HIV)</t>
  </si>
  <si>
    <t>SH.HIV.ARTC.ZS</t>
  </si>
  <si>
    <t>Antiretroviral therapy coverage for PMTCT (% of pregnant women living with HIV)</t>
  </si>
  <si>
    <t>SH.HIV.PMTC.ZS</t>
  </si>
  <si>
    <t>Prevalence of HIV, female (% ages 15-24)</t>
  </si>
  <si>
    <t>SH.HIV.1524.FE.ZS</t>
  </si>
  <si>
    <t>Prevalence of HIV, male (% ages 15-24)</t>
  </si>
  <si>
    <t>SH.HIV.1524.MA.ZS</t>
  </si>
  <si>
    <t>Prevalence of HIV, total (% of population ages 15-49)</t>
  </si>
  <si>
    <t>SH.DYN.AIDS.ZS</t>
  </si>
  <si>
    <t>Kenya</t>
  </si>
  <si>
    <t>KEN</t>
  </si>
  <si>
    <t>Botswana</t>
  </si>
  <si>
    <t>BWA</t>
  </si>
  <si>
    <t>Data from database: World Development Indicators</t>
  </si>
  <si>
    <t>Last Updated: 01/28/2026</t>
  </si>
  <si>
    <t>Country</t>
  </si>
  <si>
    <t>Year</t>
  </si>
  <si>
    <t>HIV_Prevalence_Female</t>
  </si>
  <si>
    <t>HIV_Prevalence_Male</t>
  </si>
  <si>
    <t>HIV_Prevalence_Total</t>
  </si>
  <si>
    <t>Antiretroviral_Coverage</t>
  </si>
  <si>
    <t>PMTCT_Coverage</t>
  </si>
  <si>
    <t>People living with HIV</t>
  </si>
  <si>
    <t>AIDS Deaths</t>
  </si>
  <si>
    <t>Women 15+ with HIV</t>
  </si>
  <si>
    <t>Mother to child trasmission rate %</t>
  </si>
  <si>
    <t>Population</t>
  </si>
  <si>
    <t>GDP_per_capita</t>
  </si>
  <si>
    <t>Unemployee</t>
  </si>
  <si>
    <t xml:space="preserve">HIV per 1000 pop </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</si>
  <si>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</si>
  <si>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</si>
  <si>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</si>
  <si>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</si>
  <si>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</si>
  <si>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</si>
  <si>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</si>
  <si>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</si>
  <si>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</si>
  <si>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</si>
  <si>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</si>
  <si>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</si>
  <si>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</si>
  <si>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</si>
  <si>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</si>
  <si>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</si>
  <si>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</si>
  <si>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</si>
  <si>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</si>
  <si>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</si>
  <si>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WB_WDI</t>
  </si>
  <si>
    <t>Unit</t>
  </si>
  <si>
    <t>Annual</t>
  </si>
  <si>
    <t>1960-2024</t>
  </si>
  <si>
    <t>Sum</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</si>
  <si>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</si>
  <si>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</si>
  <si>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</si>
  <si>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</si>
  <si>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</si>
  <si>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</si>
  <si>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</si>
  <si>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</si>
  <si>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current US$</t>
  </si>
  <si>
    <t>Gap-filled total</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</si>
  <si>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</si>
  <si>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</si>
  <si>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</si>
  <si>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Antiretroviral therapy coverage indicates the percentage of all people living with HIV who are receiving antiretroviral therapy.</t>
  </si>
  <si>
    <t>UNAIDS estimates, Joint United Nations Programme on HIV/AIDS (UNAIDS), uri: https://aidsinfo.unaids.org/, publisher: UNAIDS, date accessed: 2025-08-27, date published: 2025-07</t>
  </si>
  <si>
    <t>Health: Risk factors</t>
  </si>
  <si>
    <t>2000-2024</t>
  </si>
  <si>
    <t>Weighted average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</si>
  <si>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</si>
  <si>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</si>
  <si>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</si>
  <si>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Percentage of pregnant women with HIV who receive antiretroviral medicine for prevention of mother-to-child transmission (PMTCT).</t>
  </si>
  <si>
    <t>Percent of pregnant women living with HIV</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</si>
  <si>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</si>
  <si>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</si>
  <si>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Prevalence of HIV, female is the percentage of females who are infected with HIV. Youth rates are as a percentage of the relevant age group.</t>
  </si>
  <si>
    <t>1990-2024</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</si>
  <si>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</si>
  <si>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In many developing countries most new infections occur in young adults, with young women especially vulnerable.</t>
  </si>
  <si>
    <t>Prevalence of HIV, male is the percentage of males who are infected with HIV. Youth rates are as a percentage of the relevant age group.</t>
  </si>
  <si>
    <t>In many developing countries most new infections occur in young adults, with young women being especially vulnerable.</t>
  </si>
  <si>
    <t>Prevalence of HIV refers to the percentage of people ages 15-49 who are infected with HIV.</t>
  </si>
  <si>
    <t>Percentage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</si>
  <si>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</si>
  <si>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Despite the existence of effective medications and treatment, HIV/AIDS is still a leading cause of death and public health threat in the world.  Low and middle income countries continue to bear a disproportionate share of the global burden of HIV/AIDS.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</si>
</sst>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宋体"/>
      <charset val="134"/>
      <scheme val="minor"/>
    </font>
    <font>
      <sz val="11"/>
      <color theme="1"/>
      <name val="Arial"/>
      <charset val="134"/>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0" xfId="0" applyFont="1"/>
    <xf numFmtId="0" fontId="1" fillId="0" borderId="0" xfId="0" applyFont="1" applyAlignment="1"/>
    <xf numFmtId="0" fontId="1" fillId="0" borderId="0" xfId="0" applyFont="1"/>
    <xf numFmtId="0" fontId="2" fillId="0" borderId="0" xfId="0" applyFont="1" applyFill="1" applyAlignment="1"/>
    <xf numFmtId="0" fontId="1" fillId="0" borderId="0" xfId="0" applyFont="1" applyFill="1" applyAlignment="1"/>
    <xf numFmtId="49"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3" Type="http://schemas.microsoft.com/office/2011/relationships/chartColorStyle" Target="colors8.xml"/><Relationship Id="rId2" Type="http://schemas.microsoft.com/office/2011/relationships/chartStyle" Target="style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themeOverride" Target="../theme/themeOverrid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 Prevalence Trends (2007-2016)</a:t>
            </a:r>
          </a:p>
        </c:rich>
      </c:tx>
      <c:layout/>
      <c:overlay val="0"/>
      <c:spPr>
        <a:noFill/>
        <a:ln>
          <a:noFill/>
        </a:ln>
        <a:effectLst/>
      </c:spPr>
    </c:title>
    <c:autoTitleDeleted val="0"/>
    <c:plotArea>
      <c:layout>
        <c:manualLayout>
          <c:layoutTarget val="inner"/>
          <c:xMode val="edge"/>
          <c:yMode val="edge"/>
          <c:x val="0.0643741765480896"/>
          <c:y val="0.313112459169389"/>
          <c:w val="0.908089591567852"/>
          <c:h val="0.591787214185721"/>
        </c:manualLayout>
      </c:layout>
      <c:lineChart>
        <c:grouping val="standard"/>
        <c:varyColors val="0"/>
        <c:ser>
          <c:idx val="0"/>
          <c:order val="0"/>
          <c:tx>
            <c:strRef>
              <c:f>"South Afrivca"</c:f>
              <c:strCache>
                <c:ptCount val="1"/>
                <c:pt idx="0">
                  <c:v>South Afrivca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Table3!$E$2:$E$11</c:f>
              <c:numCache>
                <c:formatCode>General</c:formatCode>
                <c:ptCount val="10"/>
                <c:pt idx="0">
                  <c:v>4.7</c:v>
                </c:pt>
                <c:pt idx="1">
                  <c:v>4.5</c:v>
                </c:pt>
                <c:pt idx="2">
                  <c:v>4.4</c:v>
                </c:pt>
                <c:pt idx="3">
                  <c:v>4.3</c:v>
                </c:pt>
                <c:pt idx="4">
                  <c:v>4.2</c:v>
                </c:pt>
                <c:pt idx="5">
                  <c:v>4.1</c:v>
                </c:pt>
                <c:pt idx="6">
                  <c:v>4.1</c:v>
                </c:pt>
                <c:pt idx="7">
                  <c:v>4.1</c:v>
                </c:pt>
                <c:pt idx="8">
                  <c:v>4.2</c:v>
                </c:pt>
                <c:pt idx="9">
                  <c:v>4.2</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Table3!$E$12:$E$21</c:f>
              <c:numCache>
                <c:formatCode>General</c:formatCode>
                <c:ptCount val="10"/>
                <c:pt idx="0">
                  <c:v>6</c:v>
                </c:pt>
                <c:pt idx="1">
                  <c:v>5.8</c:v>
                </c:pt>
                <c:pt idx="2">
                  <c:v>5.6</c:v>
                </c:pt>
                <c:pt idx="3">
                  <c:v>5.5</c:v>
                </c:pt>
                <c:pt idx="4">
                  <c:v>5.3</c:v>
                </c:pt>
                <c:pt idx="5">
                  <c:v>5.2</c:v>
                </c:pt>
                <c:pt idx="6">
                  <c:v>5</c:v>
                </c:pt>
                <c:pt idx="7">
                  <c:v>4.9</c:v>
                </c:pt>
                <c:pt idx="8">
                  <c:v>4.7</c:v>
                </c:pt>
                <c:pt idx="9">
                  <c:v>4.5</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Table3!$E$22:$E$31</c:f>
              <c:numCache>
                <c:formatCode>General</c:formatCode>
                <c:ptCount val="10"/>
                <c:pt idx="0">
                  <c:v>23.6</c:v>
                </c:pt>
                <c:pt idx="1">
                  <c:v>23.4</c:v>
                </c:pt>
                <c:pt idx="2">
                  <c:v>23.2</c:v>
                </c:pt>
                <c:pt idx="3">
                  <c:v>23</c:v>
                </c:pt>
                <c:pt idx="4">
                  <c:v>22.8</c:v>
                </c:pt>
                <c:pt idx="5">
                  <c:v>22.7</c:v>
                </c:pt>
                <c:pt idx="6">
                  <c:v>22.4</c:v>
                </c:pt>
                <c:pt idx="7">
                  <c:v>22.1</c:v>
                </c:pt>
                <c:pt idx="8">
                  <c:v>21.8</c:v>
                </c:pt>
                <c:pt idx="9">
                  <c:v>21.4</c:v>
                </c:pt>
              </c:numCache>
            </c:numRef>
          </c:val>
          <c:smooth val="0"/>
        </c:ser>
        <c:dLbls>
          <c:showLegendKey val="0"/>
          <c:showVal val="1"/>
          <c:showCatName val="0"/>
          <c:showSerName val="0"/>
          <c:showPercent val="0"/>
          <c:showBubbleSize val="0"/>
        </c:dLbls>
        <c:marker val="0"/>
        <c:smooth val="0"/>
        <c:axId val="208233667"/>
        <c:axId val="616129871"/>
      </c:lineChart>
      <c:catAx>
        <c:axId val="2082336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16129871"/>
        <c:crosses val="autoZero"/>
        <c:auto val="1"/>
        <c:lblAlgn val="ctr"/>
        <c:lblOffset val="100"/>
        <c:noMultiLvlLbl val="0"/>
      </c:catAx>
      <c:valAx>
        <c:axId val="61612987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0823366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c6995e26-c48e-460d-8284-b67cd1732006}"/>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Antiretroviral Coverage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Table3!$F$2:$F$11</c:f>
              <c:numCache>
                <c:formatCode>General</c:formatCode>
                <c:ptCount val="10"/>
                <c:pt idx="0">
                  <c:v>10</c:v>
                </c:pt>
                <c:pt idx="1">
                  <c:v>14</c:v>
                </c:pt>
                <c:pt idx="2">
                  <c:v>19</c:v>
                </c:pt>
                <c:pt idx="3">
                  <c:v>25</c:v>
                </c:pt>
                <c:pt idx="4">
                  <c:v>33</c:v>
                </c:pt>
                <c:pt idx="5">
                  <c:v>40</c:v>
                </c:pt>
                <c:pt idx="6">
                  <c:v>45</c:v>
                </c:pt>
                <c:pt idx="7">
                  <c:v>49</c:v>
                </c:pt>
                <c:pt idx="8">
                  <c:v>54</c:v>
                </c:pt>
                <c:pt idx="9">
                  <c:v>60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Table3!$F$12:$F$21</c:f>
              <c:numCache>
                <c:formatCode>General</c:formatCode>
                <c:ptCount val="10"/>
                <c:pt idx="0">
                  <c:v>13</c:v>
                </c:pt>
                <c:pt idx="1">
                  <c:v>18</c:v>
                </c:pt>
                <c:pt idx="2">
                  <c:v>24</c:v>
                </c:pt>
                <c:pt idx="3">
                  <c:v>31</c:v>
                </c:pt>
                <c:pt idx="4">
                  <c:v>38</c:v>
                </c:pt>
                <c:pt idx="5">
                  <c:v>43</c:v>
                </c:pt>
                <c:pt idx="6">
                  <c:v>47</c:v>
                </c:pt>
                <c:pt idx="7">
                  <c:v>54</c:v>
                </c:pt>
                <c:pt idx="8">
                  <c:v>65</c:v>
                </c:pt>
                <c:pt idx="9">
                  <c:v>74</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Table3!$F$22:$F$31</c:f>
              <c:numCache>
                <c:formatCode>General</c:formatCode>
                <c:ptCount val="10"/>
                <c:pt idx="0">
                  <c:v>29</c:v>
                </c:pt>
                <c:pt idx="1">
                  <c:v>36</c:v>
                </c:pt>
                <c:pt idx="2">
                  <c:v>44</c:v>
                </c:pt>
                <c:pt idx="3">
                  <c:v>49</c:v>
                </c:pt>
                <c:pt idx="4">
                  <c:v>54</c:v>
                </c:pt>
                <c:pt idx="5">
                  <c:v>61</c:v>
                </c:pt>
                <c:pt idx="6">
                  <c:v>65</c:v>
                </c:pt>
                <c:pt idx="7">
                  <c:v>67</c:v>
                </c:pt>
                <c:pt idx="8">
                  <c:v>72</c:v>
                </c:pt>
                <c:pt idx="9">
                  <c:v>76</c:v>
                </c:pt>
              </c:numCache>
            </c:numRef>
          </c:val>
          <c:smooth val="0"/>
        </c:ser>
        <c:dLbls>
          <c:showLegendKey val="0"/>
          <c:showVal val="1"/>
          <c:showCatName val="0"/>
          <c:showSerName val="0"/>
          <c:showPercent val="0"/>
          <c:showBubbleSize val="0"/>
        </c:dLbls>
        <c:marker val="0"/>
        <c:smooth val="0"/>
        <c:axId val="528797517"/>
        <c:axId val="430927053"/>
      </c:lineChart>
      <c:catAx>
        <c:axId val="52879751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0927053"/>
        <c:crosses val="autoZero"/>
        <c:auto val="1"/>
        <c:lblAlgn val="ctr"/>
        <c:lblOffset val="100"/>
        <c:noMultiLvlLbl val="0"/>
      </c:catAx>
      <c:valAx>
        <c:axId val="43092705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52879751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a90ecd5f-360c-4532-8683-672b2ac6a487}"/>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PMTCT Coverage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Table3!$G$2:$G$11</c:f>
              <c:numCache>
                <c:formatCode>General</c:formatCode>
                <c:ptCount val="10"/>
                <c:pt idx="0">
                  <c:v>49</c:v>
                </c:pt>
                <c:pt idx="1">
                  <c:v>63</c:v>
                </c:pt>
                <c:pt idx="2">
                  <c:v>79</c:v>
                </c:pt>
                <c:pt idx="3">
                  <c:v>93</c:v>
                </c:pt>
                <c:pt idx="4">
                  <c:v>100</c:v>
                </c:pt>
                <c:pt idx="5">
                  <c:v>100</c:v>
                </c:pt>
                <c:pt idx="6">
                  <c:v>100</c:v>
                </c:pt>
                <c:pt idx="7">
                  <c:v>100</c:v>
                </c:pt>
                <c:pt idx="8">
                  <c:v>95</c:v>
                </c:pt>
                <c:pt idx="9">
                  <c:v>93</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Table3!$G$12:$G$21</c:f>
              <c:numCache>
                <c:formatCode>General</c:formatCode>
                <c:ptCount val="10"/>
                <c:pt idx="0">
                  <c:v>57</c:v>
                </c:pt>
                <c:pt idx="1">
                  <c:v>76</c:v>
                </c:pt>
                <c:pt idx="2">
                  <c:v>78</c:v>
                </c:pt>
                <c:pt idx="3">
                  <c:v>50</c:v>
                </c:pt>
                <c:pt idx="4">
                  <c:v>69</c:v>
                </c:pt>
                <c:pt idx="5">
                  <c:v>57</c:v>
                </c:pt>
                <c:pt idx="6">
                  <c:v>59</c:v>
                </c:pt>
                <c:pt idx="7">
                  <c:v>70</c:v>
                </c:pt>
                <c:pt idx="8">
                  <c:v>90</c:v>
                </c:pt>
                <c:pt idx="9">
                  <c:v>92</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Table3!$G$22:$G$31</c:f>
              <c:numCache>
                <c:formatCode>General</c:formatCode>
                <c:ptCount val="10"/>
                <c:pt idx="0">
                  <c:v>78</c:v>
                </c:pt>
                <c:pt idx="1">
                  <c:v>79</c:v>
                </c:pt>
                <c:pt idx="2">
                  <c:v>88</c:v>
                </c:pt>
                <c:pt idx="3">
                  <c:v>79</c:v>
                </c:pt>
                <c:pt idx="4">
                  <c:v>70</c:v>
                </c:pt>
                <c:pt idx="5">
                  <c:v>89</c:v>
                </c:pt>
                <c:pt idx="6">
                  <c:v>91</c:v>
                </c:pt>
                <c:pt idx="7">
                  <c:v>84</c:v>
                </c:pt>
                <c:pt idx="8">
                  <c:v>88</c:v>
                </c:pt>
                <c:pt idx="9">
                  <c:v>87</c:v>
                </c:pt>
              </c:numCache>
            </c:numRef>
          </c:val>
          <c:smooth val="0"/>
        </c:ser>
        <c:dLbls>
          <c:showLegendKey val="0"/>
          <c:showVal val="1"/>
          <c:showCatName val="0"/>
          <c:showSerName val="0"/>
          <c:showPercent val="0"/>
          <c:showBubbleSize val="0"/>
        </c:dLbls>
        <c:marker val="0"/>
        <c:smooth val="0"/>
        <c:axId val="668175936"/>
        <c:axId val="436278333"/>
      </c:lineChart>
      <c:catAx>
        <c:axId val="6681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6278333"/>
        <c:crosses val="autoZero"/>
        <c:auto val="1"/>
        <c:lblAlgn val="ctr"/>
        <c:lblOffset val="100"/>
        <c:noMultiLvlLbl val="0"/>
      </c:catAx>
      <c:valAx>
        <c:axId val="4362783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6817593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79784887-cd62-4b25-8efd-f0b21e4e0d32}"/>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Population Growth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Economic'!$C$2:$C$11</c:f>
              <c:numCache>
                <c:formatCode>General</c:formatCode>
                <c:ptCount val="10"/>
                <c:pt idx="0">
                  <c:v>50528584</c:v>
                </c:pt>
                <c:pt idx="1">
                  <c:v>51114599</c:v>
                </c:pt>
                <c:pt idx="2">
                  <c:v>51728516</c:v>
                </c:pt>
                <c:pt idx="3">
                  <c:v>52344051</c:v>
                </c:pt>
                <c:pt idx="4">
                  <c:v>52995205</c:v>
                </c:pt>
                <c:pt idx="5">
                  <c:v>53782567</c:v>
                </c:pt>
                <c:pt idx="6">
                  <c:v>54678791</c:v>
                </c:pt>
                <c:pt idx="7">
                  <c:v>55594838</c:v>
                </c:pt>
                <c:pt idx="8">
                  <c:v>56723537</c:v>
                </c:pt>
                <c:pt idx="9">
                  <c:v>57259551</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Economic'!$C$12:$C$21</c:f>
              <c:numCache>
                <c:formatCode>General</c:formatCode>
                <c:ptCount val="10"/>
                <c:pt idx="0">
                  <c:v>38036349</c:v>
                </c:pt>
                <c:pt idx="1">
                  <c:v>39206351</c:v>
                </c:pt>
                <c:pt idx="2">
                  <c:v>40408891</c:v>
                </c:pt>
                <c:pt idx="3">
                  <c:v>41598567</c:v>
                </c:pt>
                <c:pt idx="4">
                  <c:v>42758461</c:v>
                </c:pt>
                <c:pt idx="5">
                  <c:v>43888303</c:v>
                </c:pt>
                <c:pt idx="6">
                  <c:v>44986791</c:v>
                </c:pt>
                <c:pt idx="7">
                  <c:v>46051440</c:v>
                </c:pt>
                <c:pt idx="8">
                  <c:v>47088526</c:v>
                </c:pt>
                <c:pt idx="9">
                  <c:v>48139687</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Economic'!$C$22:$C$31</c:f>
              <c:numCache>
                <c:formatCode>General</c:formatCode>
                <c:ptCount val="10"/>
                <c:pt idx="0">
                  <c:v>1911201</c:v>
                </c:pt>
                <c:pt idx="1">
                  <c:v>1949970</c:v>
                </c:pt>
                <c:pt idx="2">
                  <c:v>1990673</c:v>
                </c:pt>
                <c:pt idx="3">
                  <c:v>2033111</c:v>
                </c:pt>
                <c:pt idx="4">
                  <c:v>2073535</c:v>
                </c:pt>
                <c:pt idx="5">
                  <c:v>2108617</c:v>
                </c:pt>
                <c:pt idx="6">
                  <c:v>2140682</c:v>
                </c:pt>
                <c:pt idx="7">
                  <c:v>2172044</c:v>
                </c:pt>
                <c:pt idx="8">
                  <c:v>2203273</c:v>
                </c:pt>
                <c:pt idx="9">
                  <c:v>2234776</c:v>
                </c:pt>
              </c:numCache>
            </c:numRef>
          </c:val>
          <c:smooth val="0"/>
        </c:ser>
        <c:dLbls>
          <c:showLegendKey val="0"/>
          <c:showVal val="1"/>
          <c:showCatName val="0"/>
          <c:showSerName val="0"/>
          <c:showPercent val="0"/>
          <c:showBubbleSize val="0"/>
        </c:dLbls>
        <c:marker val="0"/>
        <c:smooth val="0"/>
        <c:axId val="711586593"/>
        <c:axId val="366556552"/>
      </c:lineChart>
      <c:catAx>
        <c:axId val="71158659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366556552"/>
        <c:crosses val="autoZero"/>
        <c:auto val="1"/>
        <c:lblAlgn val="ctr"/>
        <c:lblOffset val="100"/>
        <c:noMultiLvlLbl val="0"/>
      </c:catAx>
      <c:valAx>
        <c:axId val="36655655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71158659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3e2c6870-0466-41a3-817f-da38cd2da8e3}"/>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 Prevalence vs GDP per Capita</a:t>
            </a:r>
          </a:p>
        </c:rich>
      </c:tx>
      <c:layout/>
      <c:overlay val="0"/>
      <c:spPr>
        <a:noFill/>
        <a:ln>
          <a:noFill/>
        </a:ln>
        <a:effectLst/>
      </c:spPr>
    </c:title>
    <c:autoTitleDeleted val="0"/>
    <c:plotArea>
      <c:layout/>
      <c:scatterChart>
        <c:scatterStyle val="marker"/>
        <c:varyColors val="0"/>
        <c:ser>
          <c:idx val="0"/>
          <c:order val="0"/>
          <c:tx>
            <c:strRef>
              <c:f>"系列 1"</c:f>
              <c:strCache>
                <c:ptCount val="1"/>
                <c:pt idx="0">
                  <c:v>系列 1</c:v>
                </c:pt>
              </c:strCache>
            </c:strRef>
          </c:tx>
          <c:spPr>
            <a:ln w="19050" cap="rnd">
              <a:noFill/>
              <a:round/>
            </a:ln>
            <a:effectLst/>
          </c:spPr>
          <c:marker>
            <c:symbol val="triangle"/>
            <c:size val="10"/>
            <c:spPr>
              <a:solidFill>
                <a:schemeClr val="accent1">
                  <a:lumMod val="40000"/>
                  <a:lumOff val="60000"/>
                </a:schemeClr>
              </a:solidFill>
              <a:ln w="25400">
                <a:solidFill>
                  <a:schemeClr val="accent1"/>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1"/>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yVal>
            <c:numRef>
              <c:f>'Table 1HIV'!$E$2:$E$31</c:f>
              <c:numCache>
                <c:formatCode>General</c:formatCode>
                <c:ptCount val="30"/>
                <c:pt idx="0">
                  <c:v>4.7</c:v>
                </c:pt>
                <c:pt idx="1">
                  <c:v>4.5</c:v>
                </c:pt>
                <c:pt idx="2">
                  <c:v>4.4</c:v>
                </c:pt>
                <c:pt idx="3">
                  <c:v>4.3</c:v>
                </c:pt>
                <c:pt idx="4">
                  <c:v>4.2</c:v>
                </c:pt>
                <c:pt idx="5">
                  <c:v>4.1</c:v>
                </c:pt>
                <c:pt idx="6">
                  <c:v>4.1</c:v>
                </c:pt>
                <c:pt idx="7">
                  <c:v>4.1</c:v>
                </c:pt>
                <c:pt idx="8">
                  <c:v>4.2</c:v>
                </c:pt>
                <c:pt idx="9">
                  <c:v>4.2</c:v>
                </c:pt>
                <c:pt idx="10">
                  <c:v>6</c:v>
                </c:pt>
                <c:pt idx="11">
                  <c:v>5.8</c:v>
                </c:pt>
                <c:pt idx="12">
                  <c:v>5.6</c:v>
                </c:pt>
                <c:pt idx="13">
                  <c:v>5.5</c:v>
                </c:pt>
                <c:pt idx="14">
                  <c:v>5.3</c:v>
                </c:pt>
                <c:pt idx="15">
                  <c:v>5.2</c:v>
                </c:pt>
                <c:pt idx="16">
                  <c:v>5</c:v>
                </c:pt>
                <c:pt idx="17">
                  <c:v>4.9</c:v>
                </c:pt>
                <c:pt idx="18">
                  <c:v>4.7</c:v>
                </c:pt>
                <c:pt idx="19">
                  <c:v>4.5</c:v>
                </c:pt>
                <c:pt idx="20">
                  <c:v>23.6</c:v>
                </c:pt>
                <c:pt idx="21">
                  <c:v>23.4</c:v>
                </c:pt>
                <c:pt idx="22">
                  <c:v>23.2</c:v>
                </c:pt>
                <c:pt idx="23">
                  <c:v>23</c:v>
                </c:pt>
                <c:pt idx="24">
                  <c:v>22.8</c:v>
                </c:pt>
                <c:pt idx="25">
                  <c:v>22.7</c:v>
                </c:pt>
                <c:pt idx="26">
                  <c:v>22.4</c:v>
                </c:pt>
                <c:pt idx="27">
                  <c:v>22.1</c:v>
                </c:pt>
                <c:pt idx="28">
                  <c:v>21.8</c:v>
                </c:pt>
                <c:pt idx="29">
                  <c:v>21.4</c:v>
                </c:pt>
              </c:numCache>
            </c:numRef>
          </c:yVal>
          <c:smooth val="0"/>
        </c:ser>
        <c:ser>
          <c:idx val="1"/>
          <c:order val="1"/>
          <c:tx>
            <c:strRef>
              <c:f>"系列 2"</c:f>
              <c:strCache>
                <c:ptCount val="1"/>
                <c:pt idx="0">
                  <c:v>系列 2</c:v>
                </c:pt>
              </c:strCache>
            </c:strRef>
          </c:tx>
          <c:spPr>
            <a:ln w="19050" cap="rnd">
              <a:noFill/>
              <a:round/>
            </a:ln>
            <a:effectLst/>
          </c:spPr>
          <c:marker>
            <c:symbol val="triangle"/>
            <c:size val="10"/>
            <c:spPr>
              <a:solidFill>
                <a:schemeClr val="accent2">
                  <a:lumMod val="40000"/>
                  <a:lumOff val="60000"/>
                </a:schemeClr>
              </a:solidFill>
              <a:ln w="25400">
                <a:solidFill>
                  <a:schemeClr val="accent2"/>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2"/>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smooth val="0"/>
        </c:ser>
        <c:ser>
          <c:idx val="2"/>
          <c:order val="2"/>
          <c:tx>
            <c:strRef>
              <c:f>"系列 3"</c:f>
              <c:strCache>
                <c:ptCount val="1"/>
                <c:pt idx="0">
                  <c:v>系列 3</c:v>
                </c:pt>
              </c:strCache>
            </c:strRef>
          </c:tx>
          <c:spPr>
            <a:ln w="19050" cap="rnd">
              <a:noFill/>
              <a:round/>
            </a:ln>
            <a:effectLst/>
          </c:spPr>
          <c:marker>
            <c:symbol val="triangle"/>
            <c:size val="10"/>
            <c:spPr>
              <a:solidFill>
                <a:schemeClr val="accent3">
                  <a:lumMod val="40000"/>
                  <a:lumOff val="60000"/>
                </a:schemeClr>
              </a:solidFill>
              <a:ln w="25400">
                <a:solidFill>
                  <a:schemeClr val="accent3"/>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3"/>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smooth val="0"/>
        </c:ser>
        <c:dLbls>
          <c:showLegendKey val="0"/>
          <c:showVal val="0"/>
          <c:showCatName val="0"/>
          <c:showSerName val="0"/>
          <c:showPercent val="0"/>
          <c:showBubbleSize val="0"/>
        </c:dLbls>
        <c:axId val="218411670"/>
        <c:axId val="102298613"/>
      </c:scatterChart>
      <c:valAx>
        <c:axId val="218411670"/>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GDP_per_capita</a:t>
                </a:r>
              </a:p>
            </c:rich>
          </c:tx>
          <c:layout/>
          <c:overlay val="0"/>
          <c:spPr>
            <a:noFill/>
            <a:ln>
              <a:noFill/>
            </a:ln>
            <a:effectLst/>
          </c:spPr>
        </c:title>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50000"/>
                    <a:lumOff val="50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102298613"/>
        <c:crosses val="autoZero"/>
        <c:crossBetween val="midCat"/>
      </c:valAx>
      <c:valAx>
        <c:axId val="102298613"/>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HIV_Prevalence_Total</a:t>
                </a:r>
              </a:p>
            </c:rich>
          </c:tx>
          <c:layout/>
          <c:overlay val="0"/>
          <c:spPr>
            <a:noFill/>
            <a:ln>
              <a:noFill/>
            </a:ln>
            <a:effectLst/>
          </c:spPr>
        </c:title>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50000"/>
                    <a:lumOff val="50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18411670"/>
        <c:crosses val="autoZero"/>
        <c:crossBetween val="midCat"/>
      </c:valAx>
      <c:spPr>
        <a:noFill/>
        <a:ln>
          <a:noFill/>
        </a:ln>
        <a:effectLst/>
      </c:spPr>
    </c:plotArea>
    <c:plotVisOnly val="1"/>
    <c:dispBlanksAs val="gap"/>
    <c:showDLblsOverMax val="0"/>
    <c:extLst>
      <c:ext uri="{0b15fc19-7d7d-44ad-8c2d-2c3a37ce22c3}">
        <chartProps xmlns="https://web.wps.cn/et/2018/main" chartId="{7e0e84a5-b6d5-4e7f-8a8e-45870a5e033a}"/>
      </c:ext>
    </c:extLst>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People Living with HIV</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1HIV'!$H$2:$H$11</c:f>
              <c:numCache>
                <c:formatCode>General</c:formatCode>
                <c:ptCount val="10"/>
                <c:pt idx="0">
                  <c:v>5100000</c:v>
                </c:pt>
                <c:pt idx="1">
                  <c:v>5300000</c:v>
                </c:pt>
                <c:pt idx="2">
                  <c:v>5500000</c:v>
                </c:pt>
                <c:pt idx="3">
                  <c:v>5700000</c:v>
                </c:pt>
                <c:pt idx="4">
                  <c:v>5900000</c:v>
                </c:pt>
                <c:pt idx="5">
                  <c:v>6100000</c:v>
                </c:pt>
                <c:pt idx="6">
                  <c:v>6300000</c:v>
                </c:pt>
                <c:pt idx="7">
                  <c:v>6500000</c:v>
                </c:pt>
                <c:pt idx="8">
                  <c:v>6700000</c:v>
                </c:pt>
                <c:pt idx="9">
                  <c:v>6900000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1HIV'!$H$12:$H$21</c:f>
              <c:numCache>
                <c:formatCode>General</c:formatCode>
                <c:ptCount val="10"/>
                <c:pt idx="0">
                  <c:v>6900000</c:v>
                </c:pt>
                <c:pt idx="1">
                  <c:v>6900000</c:v>
                </c:pt>
                <c:pt idx="2">
                  <c:v>6900000</c:v>
                </c:pt>
                <c:pt idx="3">
                  <c:v>6900000</c:v>
                </c:pt>
                <c:pt idx="4">
                  <c:v>6900000</c:v>
                </c:pt>
                <c:pt idx="5">
                  <c:v>6900000</c:v>
                </c:pt>
                <c:pt idx="6">
                  <c:v>6900000</c:v>
                </c:pt>
                <c:pt idx="7">
                  <c:v>6900000</c:v>
                </c:pt>
                <c:pt idx="8">
                  <c:v>6900000</c:v>
                </c:pt>
                <c:pt idx="9">
                  <c:v>6900000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1HIV'!$H$22:$H$31</c:f>
              <c:numCache>
                <c:formatCode>General</c:formatCode>
                <c:ptCount val="10"/>
                <c:pt idx="0">
                  <c:v>6900000</c:v>
                </c:pt>
                <c:pt idx="1">
                  <c:v>6900000</c:v>
                </c:pt>
                <c:pt idx="2">
                  <c:v>6900000</c:v>
                </c:pt>
                <c:pt idx="3">
                  <c:v>6900000</c:v>
                </c:pt>
                <c:pt idx="4">
                  <c:v>6900000</c:v>
                </c:pt>
                <c:pt idx="5">
                  <c:v>6000000</c:v>
                </c:pt>
                <c:pt idx="6">
                  <c:v>6900000</c:v>
                </c:pt>
                <c:pt idx="7">
                  <c:v>6900000</c:v>
                </c:pt>
                <c:pt idx="8">
                  <c:v>6900000</c:v>
                </c:pt>
                <c:pt idx="9">
                  <c:v>6900000</c:v>
                </c:pt>
              </c:numCache>
            </c:numRef>
          </c:val>
          <c:smooth val="0"/>
        </c:ser>
        <c:dLbls>
          <c:showLegendKey val="0"/>
          <c:showVal val="1"/>
          <c:showCatName val="0"/>
          <c:showSerName val="0"/>
          <c:showPercent val="0"/>
          <c:showBubbleSize val="0"/>
        </c:dLbls>
        <c:marker val="0"/>
        <c:smooth val="0"/>
        <c:axId val="217408765"/>
        <c:axId val="40742502"/>
      </c:lineChart>
      <c:catAx>
        <c:axId val="21740876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0742502"/>
        <c:crosses val="autoZero"/>
        <c:auto val="1"/>
        <c:lblAlgn val="ctr"/>
        <c:lblOffset val="100"/>
        <c:noMultiLvlLbl val="0"/>
      </c:catAx>
      <c:valAx>
        <c:axId val="4074250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1740876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3a3aed75-fdc1-4690-be64-05ffe117181a}"/>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AIDS Deaths</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1HIV'!$I$2:$I$11</c:f>
              <c:numCache>
                <c:formatCode>General</c:formatCode>
                <c:ptCount val="10"/>
                <c:pt idx="0">
                  <c:v>370000</c:v>
                </c:pt>
                <c:pt idx="1">
                  <c:v>360000</c:v>
                </c:pt>
                <c:pt idx="2">
                  <c:v>340000</c:v>
                </c:pt>
                <c:pt idx="3">
                  <c:v>310000</c:v>
                </c:pt>
                <c:pt idx="4">
                  <c:v>280000</c:v>
                </c:pt>
                <c:pt idx="5">
                  <c:v>240000</c:v>
                </c:pt>
                <c:pt idx="6">
                  <c:v>200000</c:v>
                </c:pt>
                <c:pt idx="7">
                  <c:v>170000</c:v>
                </c:pt>
                <c:pt idx="8">
                  <c:v>150000</c:v>
                </c:pt>
                <c:pt idx="9">
                  <c:v>130000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1HIV'!$I$12:$I$21</c:f>
              <c:numCache>
                <c:formatCode>General</c:formatCode>
                <c:ptCount val="10"/>
                <c:pt idx="0">
                  <c:v>64000</c:v>
                </c:pt>
                <c:pt idx="1">
                  <c:v>61000</c:v>
                </c:pt>
                <c:pt idx="2">
                  <c:v>58000</c:v>
                </c:pt>
                <c:pt idx="3">
                  <c:v>54000</c:v>
                </c:pt>
                <c:pt idx="4">
                  <c:v>50000</c:v>
                </c:pt>
                <c:pt idx="5">
                  <c:v>46000</c:v>
                </c:pt>
                <c:pt idx="6">
                  <c:v>42000</c:v>
                </c:pt>
                <c:pt idx="7">
                  <c:v>39000</c:v>
                </c:pt>
                <c:pt idx="8">
                  <c:v>36000</c:v>
                </c:pt>
                <c:pt idx="9">
                  <c:v>33000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1HIV'!$I$22:$I$31</c:f>
              <c:numCache>
                <c:formatCode>General</c:formatCode>
                <c:ptCount val="10"/>
                <c:pt idx="0">
                  <c:v>11000</c:v>
                </c:pt>
                <c:pt idx="1">
                  <c:v>9800</c:v>
                </c:pt>
                <c:pt idx="2">
                  <c:v>8500</c:v>
                </c:pt>
                <c:pt idx="3">
                  <c:v>7100</c:v>
                </c:pt>
                <c:pt idx="4">
                  <c:v>5900</c:v>
                </c:pt>
                <c:pt idx="5">
                  <c:v>4800</c:v>
                </c:pt>
                <c:pt idx="6">
                  <c:v>4100</c:v>
                </c:pt>
                <c:pt idx="7">
                  <c:v>3500</c:v>
                </c:pt>
                <c:pt idx="8">
                  <c:v>3100</c:v>
                </c:pt>
                <c:pt idx="9">
                  <c:v>2800</c:v>
                </c:pt>
              </c:numCache>
            </c:numRef>
          </c:val>
          <c:smooth val="0"/>
        </c:ser>
        <c:dLbls>
          <c:showLegendKey val="0"/>
          <c:showVal val="1"/>
          <c:showCatName val="0"/>
          <c:showSerName val="0"/>
          <c:showPercent val="0"/>
          <c:showBubbleSize val="0"/>
        </c:dLbls>
        <c:marker val="0"/>
        <c:smooth val="0"/>
        <c:axId val="266821717"/>
        <c:axId val="697762751"/>
      </c:lineChart>
      <c:catAx>
        <c:axId val="26682171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97762751"/>
        <c:crosses val="autoZero"/>
        <c:auto val="1"/>
        <c:lblAlgn val="ctr"/>
        <c:lblOffset val="100"/>
        <c:noMultiLvlLbl val="0"/>
      </c:catAx>
      <c:valAx>
        <c:axId val="69776275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6682171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8c0edb5c-cd89-4a88-876c-8467aca91830}"/>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Women 15+ Living with HIV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1HIV'!$J$2:$J$11</c:f>
              <c:numCache>
                <c:formatCode>General</c:formatCode>
                <c:ptCount val="10"/>
                <c:pt idx="0">
                  <c:v>3000000</c:v>
                </c:pt>
                <c:pt idx="1">
                  <c:v>3100000</c:v>
                </c:pt>
                <c:pt idx="2">
                  <c:v>3300000</c:v>
                </c:pt>
                <c:pt idx="3">
                  <c:v>3400000</c:v>
                </c:pt>
                <c:pt idx="4">
                  <c:v>3500000</c:v>
                </c:pt>
                <c:pt idx="5">
                  <c:v>3700000</c:v>
                </c:pt>
                <c:pt idx="6">
                  <c:v>3800000</c:v>
                </c:pt>
                <c:pt idx="7">
                  <c:v>4000000</c:v>
                </c:pt>
                <c:pt idx="8">
                  <c:v>4100000</c:v>
                </c:pt>
                <c:pt idx="9">
                  <c:v>4300000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1HIV'!$J$12:$J$21</c:f>
              <c:numCache>
                <c:formatCode>General</c:formatCode>
                <c:ptCount val="10"/>
                <c:pt idx="0">
                  <c:v>760000</c:v>
                </c:pt>
                <c:pt idx="1">
                  <c:v>760000</c:v>
                </c:pt>
                <c:pt idx="2">
                  <c:v>750000</c:v>
                </c:pt>
                <c:pt idx="3">
                  <c:v>760000</c:v>
                </c:pt>
                <c:pt idx="4">
                  <c:v>760000</c:v>
                </c:pt>
                <c:pt idx="5">
                  <c:v>770000</c:v>
                </c:pt>
                <c:pt idx="6">
                  <c:v>780000</c:v>
                </c:pt>
                <c:pt idx="7">
                  <c:v>790000</c:v>
                </c:pt>
                <c:pt idx="8">
                  <c:v>800000</c:v>
                </c:pt>
                <c:pt idx="9">
                  <c:v>800000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1HIV'!$J$22:$J$31</c:f>
              <c:numCache>
                <c:formatCode>General</c:formatCode>
                <c:ptCount val="10"/>
                <c:pt idx="0">
                  <c:v>170000</c:v>
                </c:pt>
                <c:pt idx="1">
                  <c:v>170000</c:v>
                </c:pt>
                <c:pt idx="2">
                  <c:v>180000</c:v>
                </c:pt>
                <c:pt idx="3">
                  <c:v>180000</c:v>
                </c:pt>
                <c:pt idx="4">
                  <c:v>190000</c:v>
                </c:pt>
                <c:pt idx="5">
                  <c:v>190000</c:v>
                </c:pt>
                <c:pt idx="6">
                  <c:v>190000</c:v>
                </c:pt>
                <c:pt idx="7">
                  <c:v>200000</c:v>
                </c:pt>
                <c:pt idx="8">
                  <c:v>200000</c:v>
                </c:pt>
                <c:pt idx="9">
                  <c:v>210000</c:v>
                </c:pt>
              </c:numCache>
            </c:numRef>
          </c:val>
          <c:smooth val="0"/>
        </c:ser>
        <c:dLbls>
          <c:showLegendKey val="0"/>
          <c:showVal val="1"/>
          <c:showCatName val="0"/>
          <c:showSerName val="0"/>
          <c:showPercent val="0"/>
          <c:showBubbleSize val="0"/>
        </c:dLbls>
        <c:marker val="0"/>
        <c:smooth val="0"/>
        <c:axId val="246050765"/>
        <c:axId val="437773399"/>
      </c:lineChart>
      <c:catAx>
        <c:axId val="24605076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7773399"/>
        <c:crosses val="autoZero"/>
        <c:auto val="1"/>
        <c:lblAlgn val="ctr"/>
        <c:lblOffset val="100"/>
        <c:noMultiLvlLbl val="0"/>
      </c:catAx>
      <c:valAx>
        <c:axId val="4377733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4605076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72eaa176-a37a-417b-a045-a1fef4b9df6f}"/>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Mother-to-Child Transmission Rate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1HIV'!$K$2:$K$11</c:f>
              <c:numCache>
                <c:formatCode>General</c:formatCode>
                <c:ptCount val="10"/>
                <c:pt idx="3">
                  <c:v>8</c:v>
                </c:pt>
                <c:pt idx="4">
                  <c:v>6</c:v>
                </c:pt>
                <c:pt idx="5">
                  <c:v>5</c:v>
                </c:pt>
                <c:pt idx="6">
                  <c:v>5</c:v>
                </c:pt>
                <c:pt idx="7">
                  <c:v>4</c:v>
                </c:pt>
                <c:pt idx="8">
                  <c:v>4</c:v>
                </c:pt>
                <c:pt idx="9">
                  <c:v>4</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1HIV'!$K$12:$K$21</c:f>
              <c:numCache>
                <c:formatCode>General</c:formatCode>
                <c:ptCount val="10"/>
                <c:pt idx="3">
                  <c:v>20</c:v>
                </c:pt>
                <c:pt idx="4">
                  <c:v>16</c:v>
                </c:pt>
                <c:pt idx="5">
                  <c:v>19</c:v>
                </c:pt>
                <c:pt idx="6">
                  <c:v>18</c:v>
                </c:pt>
                <c:pt idx="7">
                  <c:v>16</c:v>
                </c:pt>
                <c:pt idx="8">
                  <c:v>10</c:v>
                </c:pt>
                <c:pt idx="9">
                  <c:v>9</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1HIV'!$K$22:$K$31</c:f>
              <c:numCache>
                <c:formatCode>General</c:formatCode>
                <c:ptCount val="10"/>
                <c:pt idx="3">
                  <c:v>8</c:v>
                </c:pt>
                <c:pt idx="4">
                  <c:v>10</c:v>
                </c:pt>
                <c:pt idx="5">
                  <c:v>6</c:v>
                </c:pt>
                <c:pt idx="6">
                  <c:v>4</c:v>
                </c:pt>
                <c:pt idx="7">
                  <c:v>6</c:v>
                </c:pt>
                <c:pt idx="8">
                  <c:v>5</c:v>
                </c:pt>
                <c:pt idx="9">
                  <c:v>5</c:v>
                </c:pt>
              </c:numCache>
            </c:numRef>
          </c:val>
          <c:smooth val="0"/>
        </c:ser>
        <c:dLbls>
          <c:showLegendKey val="0"/>
          <c:showVal val="1"/>
          <c:showCatName val="0"/>
          <c:showSerName val="0"/>
          <c:showPercent val="0"/>
          <c:showBubbleSize val="0"/>
        </c:dLbls>
        <c:marker val="0"/>
        <c:smooth val="0"/>
        <c:axId val="232420446"/>
        <c:axId val="290086146"/>
      </c:lineChart>
      <c:catAx>
        <c:axId val="23242044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90086146"/>
        <c:crosses val="autoZero"/>
        <c:auto val="1"/>
        <c:lblAlgn val="ctr"/>
        <c:lblOffset val="100"/>
        <c:noMultiLvlLbl val="0"/>
      </c:catAx>
      <c:valAx>
        <c:axId val="29008614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3242044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4072f1c0-9acf-48c6-b611-e6f100bddfde}"/>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Unemployment Rate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Economic'!$E$2:$E$11</c:f>
              <c:numCache>
                <c:formatCode>General</c:formatCode>
                <c:ptCount val="10"/>
                <c:pt idx="0">
                  <c:v>22.3</c:v>
                </c:pt>
                <c:pt idx="1">
                  <c:v>22.7</c:v>
                </c:pt>
                <c:pt idx="2">
                  <c:v>23.7</c:v>
                </c:pt>
                <c:pt idx="3">
                  <c:v>24.7</c:v>
                </c:pt>
                <c:pt idx="4">
                  <c:v>24.7</c:v>
                </c:pt>
                <c:pt idx="5">
                  <c:v>24.9</c:v>
                </c:pt>
                <c:pt idx="6">
                  <c:v>24.7</c:v>
                </c:pt>
                <c:pt idx="7">
                  <c:v>25.1</c:v>
                </c:pt>
                <c:pt idx="8">
                  <c:v>25.4</c:v>
                </c:pt>
                <c:pt idx="9">
                  <c:v>26.7</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Economic'!$E$12:$E$21</c:f>
              <c:numCache>
                <c:formatCode>General</c:formatCode>
                <c:ptCount val="10"/>
                <c:pt idx="0">
                  <c:v>2.7</c:v>
                </c:pt>
                <c:pt idx="1">
                  <c:v>2.7</c:v>
                </c:pt>
                <c:pt idx="2">
                  <c:v>2.7</c:v>
                </c:pt>
                <c:pt idx="3">
                  <c:v>2.7</c:v>
                </c:pt>
                <c:pt idx="4">
                  <c:v>2.7</c:v>
                </c:pt>
                <c:pt idx="5">
                  <c:v>2.7</c:v>
                </c:pt>
                <c:pt idx="6">
                  <c:v>2.7</c:v>
                </c:pt>
                <c:pt idx="7">
                  <c:v>2.8</c:v>
                </c:pt>
                <c:pt idx="8">
                  <c:v>2.8</c:v>
                </c:pt>
                <c:pt idx="9">
                  <c:v>2.8</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Economic'!$E$22:$E$31</c:f>
              <c:numCache>
                <c:formatCode>General</c:formatCode>
                <c:ptCount val="10"/>
                <c:pt idx="0">
                  <c:v>17.6</c:v>
                </c:pt>
                <c:pt idx="1">
                  <c:v>17.7</c:v>
                </c:pt>
                <c:pt idx="2">
                  <c:v>17.8</c:v>
                </c:pt>
                <c:pt idx="3">
                  <c:v>17.9</c:v>
                </c:pt>
                <c:pt idx="4">
                  <c:v>18</c:v>
                </c:pt>
                <c:pt idx="5">
                  <c:v>18.1</c:v>
                </c:pt>
                <c:pt idx="6">
                  <c:v>18.5</c:v>
                </c:pt>
                <c:pt idx="7">
                  <c:v>19</c:v>
                </c:pt>
                <c:pt idx="8">
                  <c:v>19.5</c:v>
                </c:pt>
                <c:pt idx="9">
                  <c:v>20</c:v>
                </c:pt>
              </c:numCache>
            </c:numRef>
          </c:val>
          <c:smooth val="0"/>
        </c:ser>
        <c:dLbls>
          <c:showLegendKey val="0"/>
          <c:showVal val="1"/>
          <c:showCatName val="0"/>
          <c:showSerName val="0"/>
          <c:showPercent val="0"/>
          <c:showBubbleSize val="0"/>
        </c:dLbls>
        <c:marker val="0"/>
        <c:smooth val="0"/>
        <c:axId val="429466368"/>
        <c:axId val="709585861"/>
      </c:lineChart>
      <c:catAx>
        <c:axId val="4294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709585861"/>
        <c:crosses val="autoZero"/>
        <c:auto val="1"/>
        <c:lblAlgn val="ctr"/>
        <c:lblOffset val="100"/>
        <c:noMultiLvlLbl val="0"/>
      </c:catAx>
      <c:valAx>
        <c:axId val="70958586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2946636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5b3c28c2-a81f-4804-8461-f9c36915834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521335</xdr:colOff>
      <xdr:row>1</xdr:row>
      <xdr:rowOff>41275</xdr:rowOff>
    </xdr:from>
    <xdr:to>
      <xdr:col>8</xdr:col>
      <xdr:colOff>530860</xdr:colOff>
      <xdr:row>32</xdr:row>
      <xdr:rowOff>139700</xdr:rowOff>
    </xdr:to>
    <xdr:graphicFrame>
      <xdr:nvGraphicFramePr>
        <xdr:cNvPr id="4" name="图表 3" descr="7b0a202020202263686172745265734964223a20223230343731343133220a7d0a"/>
        <xdr:cNvGraphicFramePr/>
      </xdr:nvGraphicFramePr>
      <xdr:xfrm>
        <a:off x="521335" y="212725"/>
        <a:ext cx="6357620" cy="5413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2</xdr:row>
      <xdr:rowOff>10795</xdr:rowOff>
    </xdr:from>
    <xdr:to>
      <xdr:col>19</xdr:col>
      <xdr:colOff>353060</xdr:colOff>
      <xdr:row>33</xdr:row>
      <xdr:rowOff>3810</xdr:rowOff>
    </xdr:to>
    <xdr:graphicFrame>
      <xdr:nvGraphicFramePr>
        <xdr:cNvPr id="5" name="图表 4" descr="7b0a202020202263686172745265734964223a20223230343731343133220a7d0a"/>
        <xdr:cNvGraphicFramePr/>
      </xdr:nvGraphicFramePr>
      <xdr:xfrm>
        <a:off x="7443470" y="353695"/>
        <a:ext cx="6382385" cy="53079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608965</xdr:colOff>
      <xdr:row>35</xdr:row>
      <xdr:rowOff>67310</xdr:rowOff>
    </xdr:from>
    <xdr:to>
      <xdr:col>8</xdr:col>
      <xdr:colOff>565150</xdr:colOff>
      <xdr:row>66</xdr:row>
      <xdr:rowOff>95250</xdr:rowOff>
    </xdr:to>
    <xdr:graphicFrame>
      <xdr:nvGraphicFramePr>
        <xdr:cNvPr id="6" name="图表 5" descr="7b0a202020202263686172745265734964223a20223230343731343133220a7d0a"/>
        <xdr:cNvGraphicFramePr/>
      </xdr:nvGraphicFramePr>
      <xdr:xfrm>
        <a:off x="608965" y="6068060"/>
        <a:ext cx="6304280" cy="5342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389255</xdr:colOff>
      <xdr:row>35</xdr:row>
      <xdr:rowOff>102235</xdr:rowOff>
    </xdr:from>
    <xdr:to>
      <xdr:col>20</xdr:col>
      <xdr:colOff>88265</xdr:colOff>
      <xdr:row>66</xdr:row>
      <xdr:rowOff>93345</xdr:rowOff>
    </xdr:to>
    <xdr:graphicFrame>
      <xdr:nvGraphicFramePr>
        <xdr:cNvPr id="7" name="图表 6" descr="7b0a202020202263686172745265734964223a20223230343731343133220a7d0a"/>
        <xdr:cNvGraphicFramePr/>
      </xdr:nvGraphicFramePr>
      <xdr:xfrm>
        <a:off x="7385050" y="6102985"/>
        <a:ext cx="6823710" cy="53060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31750</xdr:colOff>
      <xdr:row>67</xdr:row>
      <xdr:rowOff>24765</xdr:rowOff>
    </xdr:from>
    <xdr:to>
      <xdr:col>9</xdr:col>
      <xdr:colOff>222885</xdr:colOff>
      <xdr:row>90</xdr:row>
      <xdr:rowOff>41910</xdr:rowOff>
    </xdr:to>
    <xdr:graphicFrame>
      <xdr:nvGraphicFramePr>
        <xdr:cNvPr id="9" name="图表 8" descr="7b0a202020202263686172745265734964223a20223230343736323039220a7d0a"/>
        <xdr:cNvGraphicFramePr/>
      </xdr:nvGraphicFramePr>
      <xdr:xfrm>
        <a:off x="914400" y="11511915"/>
        <a:ext cx="6304280" cy="39604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640080</xdr:colOff>
      <xdr:row>67</xdr:row>
      <xdr:rowOff>92710</xdr:rowOff>
    </xdr:from>
    <xdr:to>
      <xdr:col>18</xdr:col>
      <xdr:colOff>605155</xdr:colOff>
      <xdr:row>90</xdr:row>
      <xdr:rowOff>54610</xdr:rowOff>
    </xdr:to>
    <xdr:graphicFrame>
      <xdr:nvGraphicFramePr>
        <xdr:cNvPr id="2" name="图表 1" descr="7b0a202020202263686172745265734964223a20223230343731343133220a7d0a"/>
        <xdr:cNvGraphicFramePr/>
      </xdr:nvGraphicFramePr>
      <xdr:xfrm>
        <a:off x="7635875" y="11579860"/>
        <a:ext cx="5794375" cy="39052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62230</xdr:colOff>
      <xdr:row>92</xdr:row>
      <xdr:rowOff>67945</xdr:rowOff>
    </xdr:from>
    <xdr:to>
      <xdr:col>7</xdr:col>
      <xdr:colOff>70485</xdr:colOff>
      <xdr:row>108</xdr:row>
      <xdr:rowOff>67945</xdr:rowOff>
    </xdr:to>
    <xdr:graphicFrame>
      <xdr:nvGraphicFramePr>
        <xdr:cNvPr id="8" name="图表 7" descr="7b0a202020202263686172745265734964223a20223230343731343133220a7d0a"/>
        <xdr:cNvGraphicFramePr/>
      </xdr:nvGraphicFramePr>
      <xdr:xfrm>
        <a:off x="944880" y="15841345"/>
        <a:ext cx="4826000" cy="27432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135890</xdr:colOff>
      <xdr:row>92</xdr:row>
      <xdr:rowOff>67945</xdr:rowOff>
    </xdr:from>
    <xdr:to>
      <xdr:col>17</xdr:col>
      <xdr:colOff>427990</xdr:colOff>
      <xdr:row>108</xdr:row>
      <xdr:rowOff>67945</xdr:rowOff>
    </xdr:to>
    <xdr:graphicFrame>
      <xdr:nvGraphicFramePr>
        <xdr:cNvPr id="10" name="图表 9" descr="7b0a202020202263686172745265734964223a20223230343731343133220a7d0a"/>
        <xdr:cNvGraphicFramePr/>
      </xdr:nvGraphicFramePr>
      <xdr:xfrm>
        <a:off x="7779385" y="15841345"/>
        <a:ext cx="4826000" cy="27432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90170</xdr:colOff>
      <xdr:row>109</xdr:row>
      <xdr:rowOff>168910</xdr:rowOff>
    </xdr:from>
    <xdr:to>
      <xdr:col>7</xdr:col>
      <xdr:colOff>98425</xdr:colOff>
      <xdr:row>125</xdr:row>
      <xdr:rowOff>168910</xdr:rowOff>
    </xdr:to>
    <xdr:graphicFrame>
      <xdr:nvGraphicFramePr>
        <xdr:cNvPr id="11" name="图表 10" descr="7b0a202020202263686172745265734964223a20223230343731343133220a7d0a"/>
        <xdr:cNvGraphicFramePr/>
      </xdr:nvGraphicFramePr>
      <xdr:xfrm>
        <a:off x="972820" y="18856960"/>
        <a:ext cx="4826000" cy="27432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566420</xdr:colOff>
      <xdr:row>109</xdr:row>
      <xdr:rowOff>49530</xdr:rowOff>
    </xdr:from>
    <xdr:to>
      <xdr:col>17</xdr:col>
      <xdr:colOff>210820</xdr:colOff>
      <xdr:row>125</xdr:row>
      <xdr:rowOff>49530</xdr:rowOff>
    </xdr:to>
    <xdr:graphicFrame>
      <xdr:nvGraphicFramePr>
        <xdr:cNvPr id="12" name="图表 11" descr="7b0a202020202263686172745265734964223a20223230343731343133220a7d0a"/>
        <xdr:cNvGraphicFramePr/>
      </xdr:nvGraphicFramePr>
      <xdr:xfrm>
        <a:off x="7562215" y="18737580"/>
        <a:ext cx="4826000" cy="27432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自定义 95">
    <a:dk1>
      <a:srgbClr val="000000"/>
    </a:dk1>
    <a:lt1>
      <a:srgbClr val="FFFFFF"/>
    </a:lt1>
    <a:dk2>
      <a:srgbClr val="44546A"/>
    </a:dk2>
    <a:lt2>
      <a:srgbClr val="E7E6E6"/>
    </a:lt2>
    <a:accent1>
      <a:srgbClr val="FF723B"/>
    </a:accent1>
    <a:accent2>
      <a:srgbClr val="1CC7F8"/>
    </a:accent2>
    <a:accent3>
      <a:srgbClr val="09C55D"/>
    </a:accent3>
    <a:accent4>
      <a:srgbClr val="FFB619"/>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topLeftCell="B1" workbookViewId="0">
      <selection activeCell="C33" sqref="C33"/>
    </sheetView>
  </sheetViews>
  <sheetFormatPr defaultColWidth="9" defaultRowHeight="13.5"/>
  <cols>
    <col min="1" max="1" width="14.7345132743363" style="1" customWidth="1"/>
    <col min="2" max="2" width="13.6902654867257" style="1" customWidth="1"/>
    <col min="3" max="3" width="77.9646017699115" style="1" customWidth="1"/>
    <col min="4" max="4" width="20.0176991150442" style="1" customWidth="1"/>
    <col min="5" max="14" width="13.5398230088496" style="1"/>
    <col min="15" max="16384" width="9" style="1"/>
  </cols>
  <sheetData>
    <row r="1" spans="1:14">
      <c r="A1" s="1" t="s">
        <v>0</v>
      </c>
      <c r="B1" s="6" t="s">
        <v>1</v>
      </c>
      <c r="C1" s="1" t="s">
        <v>2</v>
      </c>
      <c r="D1" s="6" t="s">
        <v>3</v>
      </c>
      <c r="E1" s="1" t="s">
        <v>4</v>
      </c>
      <c r="F1" s="1" t="s">
        <v>5</v>
      </c>
      <c r="G1" s="1" t="s">
        <v>6</v>
      </c>
      <c r="H1" s="1" t="s">
        <v>7</v>
      </c>
      <c r="I1" s="1" t="s">
        <v>8</v>
      </c>
      <c r="J1" s="1" t="s">
        <v>9</v>
      </c>
      <c r="K1" s="1" t="s">
        <v>10</v>
      </c>
      <c r="L1" s="1" t="s">
        <v>11</v>
      </c>
      <c r="M1" s="1" t="s">
        <v>12</v>
      </c>
      <c r="N1" s="1" t="s">
        <v>13</v>
      </c>
    </row>
    <row r="2" spans="1:14">
      <c r="A2" s="1" t="s">
        <v>14</v>
      </c>
      <c r="B2" s="6" t="s">
        <v>15</v>
      </c>
      <c r="C2" s="1" t="s">
        <v>16</v>
      </c>
      <c r="D2" s="6" t="s">
        <v>17</v>
      </c>
      <c r="E2" s="1">
        <v>50528584</v>
      </c>
      <c r="F2" s="1">
        <v>51114599</v>
      </c>
      <c r="G2" s="1">
        <v>51728516</v>
      </c>
      <c r="H2" s="1">
        <v>52344051</v>
      </c>
      <c r="I2" s="1">
        <v>52995205</v>
      </c>
      <c r="J2" s="1">
        <v>53782567</v>
      </c>
      <c r="K2" s="1">
        <v>54678791</v>
      </c>
      <c r="L2" s="1">
        <v>55594838</v>
      </c>
      <c r="M2" s="1">
        <v>56723537</v>
      </c>
      <c r="N2" s="1">
        <v>57259551</v>
      </c>
    </row>
    <row r="3" spans="1:14">
      <c r="A3" s="1" t="s">
        <v>14</v>
      </c>
      <c r="B3" s="6" t="s">
        <v>15</v>
      </c>
      <c r="C3" s="1" t="s">
        <v>18</v>
      </c>
      <c r="D3" s="6" t="s">
        <v>19</v>
      </c>
      <c r="E3" s="1">
        <v>333077117253.684</v>
      </c>
      <c r="F3" s="1">
        <v>316131258616.309</v>
      </c>
      <c r="G3" s="1">
        <v>329754060647.129</v>
      </c>
      <c r="H3" s="1">
        <v>417363822801.713</v>
      </c>
      <c r="I3" s="1">
        <v>458199494830.834</v>
      </c>
      <c r="J3" s="1">
        <v>434400545085.811</v>
      </c>
      <c r="K3" s="1">
        <v>400886013595.573</v>
      </c>
      <c r="L3" s="1">
        <v>381198869776.106</v>
      </c>
      <c r="M3" s="1">
        <v>346709790458.563</v>
      </c>
      <c r="N3" s="1">
        <v>323585509674.481</v>
      </c>
    </row>
    <row r="4" spans="1:14">
      <c r="A4" s="1" t="s">
        <v>14</v>
      </c>
      <c r="B4" s="6" t="s">
        <v>15</v>
      </c>
      <c r="C4" s="1" t="s">
        <v>20</v>
      </c>
      <c r="D4" s="6" t="s">
        <v>21</v>
      </c>
      <c r="E4" s="1">
        <v>10</v>
      </c>
      <c r="F4" s="1">
        <v>14</v>
      </c>
      <c r="G4" s="1">
        <v>19</v>
      </c>
      <c r="H4" s="1">
        <v>25</v>
      </c>
      <c r="I4" s="1">
        <v>33</v>
      </c>
      <c r="J4" s="1">
        <v>40</v>
      </c>
      <c r="K4" s="1">
        <v>45</v>
      </c>
      <c r="L4" s="1">
        <v>49</v>
      </c>
      <c r="M4" s="1">
        <v>54</v>
      </c>
      <c r="N4" s="1">
        <v>60</v>
      </c>
    </row>
    <row r="5" spans="1:14">
      <c r="A5" s="1" t="s">
        <v>14</v>
      </c>
      <c r="B5" s="6" t="s">
        <v>15</v>
      </c>
      <c r="C5" s="1" t="s">
        <v>22</v>
      </c>
      <c r="D5" s="6" t="s">
        <v>23</v>
      </c>
      <c r="E5" s="1">
        <v>49</v>
      </c>
      <c r="F5" s="1">
        <v>63</v>
      </c>
      <c r="G5" s="1">
        <v>79</v>
      </c>
      <c r="H5" s="1">
        <v>93</v>
      </c>
      <c r="I5" s="1">
        <v>100</v>
      </c>
      <c r="J5" s="1">
        <v>100</v>
      </c>
      <c r="K5" s="1">
        <v>100</v>
      </c>
      <c r="L5" s="1">
        <v>100</v>
      </c>
      <c r="M5" s="1">
        <v>95</v>
      </c>
      <c r="N5" s="1">
        <v>93</v>
      </c>
    </row>
    <row r="6" spans="1:14">
      <c r="A6" s="1" t="s">
        <v>14</v>
      </c>
      <c r="B6" s="6" t="s">
        <v>15</v>
      </c>
      <c r="C6" s="1" t="s">
        <v>24</v>
      </c>
      <c r="D6" s="6" t="s">
        <v>25</v>
      </c>
      <c r="E6" s="1">
        <v>15.8</v>
      </c>
      <c r="F6" s="1">
        <v>15.3</v>
      </c>
      <c r="G6" s="1">
        <v>14.8</v>
      </c>
      <c r="H6" s="1">
        <v>14.3</v>
      </c>
      <c r="I6" s="1">
        <v>13.9</v>
      </c>
      <c r="J6" s="1">
        <v>13.5</v>
      </c>
      <c r="K6" s="1">
        <v>13.1</v>
      </c>
      <c r="L6" s="1">
        <v>12.9</v>
      </c>
      <c r="M6" s="1">
        <v>12.6</v>
      </c>
      <c r="N6" s="1">
        <v>12.4</v>
      </c>
    </row>
    <row r="7" spans="1:14">
      <c r="A7" s="1" t="s">
        <v>14</v>
      </c>
      <c r="B7" s="6" t="s">
        <v>15</v>
      </c>
      <c r="C7" s="1" t="s">
        <v>26</v>
      </c>
      <c r="D7" s="6" t="s">
        <v>27</v>
      </c>
      <c r="E7" s="1">
        <v>4.7</v>
      </c>
      <c r="F7" s="1">
        <v>4.5</v>
      </c>
      <c r="G7" s="1">
        <v>4.4</v>
      </c>
      <c r="H7" s="1">
        <v>4.3</v>
      </c>
      <c r="I7" s="1">
        <v>4.2</v>
      </c>
      <c r="J7" s="1">
        <v>4.1</v>
      </c>
      <c r="K7" s="1">
        <v>4.1</v>
      </c>
      <c r="L7" s="1">
        <v>4.1</v>
      </c>
      <c r="M7" s="1">
        <v>4.2</v>
      </c>
      <c r="N7" s="1">
        <v>4.2</v>
      </c>
    </row>
    <row r="8" spans="1:14">
      <c r="A8" s="1" t="s">
        <v>14</v>
      </c>
      <c r="B8" s="6" t="s">
        <v>15</v>
      </c>
      <c r="C8" s="1" t="s">
        <v>28</v>
      </c>
      <c r="D8" s="6" t="s">
        <v>29</v>
      </c>
      <c r="E8" s="1">
        <v>16.6</v>
      </c>
      <c r="F8" s="1">
        <v>16.8</v>
      </c>
      <c r="G8" s="1">
        <v>17.1</v>
      </c>
      <c r="H8" s="1">
        <v>17.4</v>
      </c>
      <c r="I8" s="1">
        <v>17.7</v>
      </c>
      <c r="J8" s="1">
        <v>17.9</v>
      </c>
      <c r="K8" s="1">
        <v>18.1</v>
      </c>
      <c r="L8" s="1">
        <v>18.3</v>
      </c>
      <c r="M8" s="1">
        <v>18.5</v>
      </c>
      <c r="N8" s="1">
        <v>18.6</v>
      </c>
    </row>
    <row r="9" spans="1:14">
      <c r="A9" s="1" t="s">
        <v>30</v>
      </c>
      <c r="B9" s="6" t="s">
        <v>31</v>
      </c>
      <c r="C9" s="1" t="s">
        <v>16</v>
      </c>
      <c r="D9" s="6" t="s">
        <v>17</v>
      </c>
      <c r="E9" s="1">
        <v>38036349</v>
      </c>
      <c r="F9" s="1">
        <v>39206351</v>
      </c>
      <c r="G9" s="1">
        <v>40408891</v>
      </c>
      <c r="H9" s="1">
        <v>41598567</v>
      </c>
      <c r="I9" s="1">
        <v>42758461</v>
      </c>
      <c r="J9" s="1">
        <v>43888303</v>
      </c>
      <c r="K9" s="1">
        <v>44986791</v>
      </c>
      <c r="L9" s="1">
        <v>46051440</v>
      </c>
      <c r="M9" s="1">
        <v>47088526</v>
      </c>
      <c r="N9" s="1">
        <v>48139687</v>
      </c>
    </row>
    <row r="10" spans="1:14">
      <c r="A10" s="1" t="s">
        <v>30</v>
      </c>
      <c r="B10" s="6" t="s">
        <v>31</v>
      </c>
      <c r="C10" s="1" t="s">
        <v>18</v>
      </c>
      <c r="D10" s="6" t="s">
        <v>19</v>
      </c>
      <c r="E10" s="1">
        <v>31958195182.2406</v>
      </c>
      <c r="F10" s="1">
        <v>35895153327.8497</v>
      </c>
      <c r="G10" s="1">
        <v>42347217912.9176</v>
      </c>
      <c r="H10" s="1">
        <v>45405615063.7551</v>
      </c>
      <c r="I10" s="1">
        <v>46869473150.61</v>
      </c>
      <c r="J10" s="1">
        <v>56396704671.5777</v>
      </c>
      <c r="K10" s="1">
        <v>61671440407.8387</v>
      </c>
      <c r="L10" s="1">
        <v>68285796514.2896</v>
      </c>
      <c r="M10" s="1">
        <v>70120446896.8359</v>
      </c>
      <c r="N10" s="1">
        <v>74815144163.8931</v>
      </c>
    </row>
    <row r="11" spans="1:14">
      <c r="A11" s="1" t="s">
        <v>30</v>
      </c>
      <c r="B11" s="6" t="s">
        <v>31</v>
      </c>
      <c r="C11" s="1" t="s">
        <v>20</v>
      </c>
      <c r="D11" s="6" t="s">
        <v>21</v>
      </c>
      <c r="E11" s="1">
        <v>13</v>
      </c>
      <c r="F11" s="1">
        <v>18</v>
      </c>
      <c r="G11" s="1">
        <v>24</v>
      </c>
      <c r="H11" s="1">
        <v>31</v>
      </c>
      <c r="I11" s="1">
        <v>38</v>
      </c>
      <c r="J11" s="1">
        <v>43</v>
      </c>
      <c r="K11" s="1">
        <v>47</v>
      </c>
      <c r="L11" s="1">
        <v>54</v>
      </c>
      <c r="M11" s="1">
        <v>65</v>
      </c>
      <c r="N11" s="1">
        <v>74</v>
      </c>
    </row>
    <row r="12" spans="1:14">
      <c r="A12" s="1" t="s">
        <v>30</v>
      </c>
      <c r="B12" s="6" t="s">
        <v>31</v>
      </c>
      <c r="C12" s="1" t="s">
        <v>22</v>
      </c>
      <c r="D12" s="6" t="s">
        <v>23</v>
      </c>
      <c r="E12" s="1">
        <v>57</v>
      </c>
      <c r="F12" s="1">
        <v>76</v>
      </c>
      <c r="G12" s="1">
        <v>78</v>
      </c>
      <c r="H12" s="1">
        <v>50</v>
      </c>
      <c r="I12" s="1">
        <v>69</v>
      </c>
      <c r="J12" s="1">
        <v>57</v>
      </c>
      <c r="K12" s="1">
        <v>59</v>
      </c>
      <c r="L12" s="1">
        <v>70</v>
      </c>
      <c r="M12" s="1">
        <v>90</v>
      </c>
      <c r="N12" s="1">
        <v>92</v>
      </c>
    </row>
    <row r="13" spans="1:14">
      <c r="A13" s="1" t="s">
        <v>30</v>
      </c>
      <c r="B13" s="6" t="s">
        <v>31</v>
      </c>
      <c r="C13" s="1" t="s">
        <v>24</v>
      </c>
      <c r="D13" s="6" t="s">
        <v>25</v>
      </c>
      <c r="E13" s="1">
        <v>3.6</v>
      </c>
      <c r="F13" s="1">
        <v>3.5</v>
      </c>
      <c r="G13" s="1">
        <v>3.4</v>
      </c>
      <c r="H13" s="1">
        <v>3.3</v>
      </c>
      <c r="I13" s="1">
        <v>3.3</v>
      </c>
      <c r="J13" s="1">
        <v>3.2</v>
      </c>
      <c r="K13" s="1">
        <v>3.1</v>
      </c>
      <c r="L13" s="1">
        <v>2.9</v>
      </c>
      <c r="M13" s="1">
        <v>2.8</v>
      </c>
      <c r="N13" s="1">
        <v>2.6</v>
      </c>
    </row>
    <row r="14" spans="1:14">
      <c r="A14" s="1" t="s">
        <v>30</v>
      </c>
      <c r="B14" s="6" t="s">
        <v>31</v>
      </c>
      <c r="C14" s="1" t="s">
        <v>26</v>
      </c>
      <c r="D14" s="6" t="s">
        <v>27</v>
      </c>
      <c r="E14" s="1">
        <v>1.3</v>
      </c>
      <c r="F14" s="1">
        <v>1.4</v>
      </c>
      <c r="G14" s="1">
        <v>1.4</v>
      </c>
      <c r="H14" s="1">
        <v>1.5</v>
      </c>
      <c r="I14" s="1">
        <v>1.6</v>
      </c>
      <c r="J14" s="1">
        <v>1.6</v>
      </c>
      <c r="K14" s="1">
        <v>1.6</v>
      </c>
      <c r="L14" s="1">
        <v>1.6</v>
      </c>
      <c r="M14" s="1">
        <v>1.6</v>
      </c>
      <c r="N14" s="1">
        <v>1.5</v>
      </c>
    </row>
    <row r="15" spans="1:14">
      <c r="A15" s="1" t="s">
        <v>30</v>
      </c>
      <c r="B15" s="6" t="s">
        <v>31</v>
      </c>
      <c r="C15" s="1" t="s">
        <v>28</v>
      </c>
      <c r="D15" s="6" t="s">
        <v>29</v>
      </c>
      <c r="E15" s="1">
        <v>6</v>
      </c>
      <c r="F15" s="1">
        <v>5.8</v>
      </c>
      <c r="G15" s="1">
        <v>5.6</v>
      </c>
      <c r="H15" s="1">
        <v>5.5</v>
      </c>
      <c r="I15" s="1">
        <v>5.3</v>
      </c>
      <c r="J15" s="1">
        <v>5.2</v>
      </c>
      <c r="K15" s="1">
        <v>5</v>
      </c>
      <c r="L15" s="1">
        <v>4.9</v>
      </c>
      <c r="M15" s="1">
        <v>4.7</v>
      </c>
      <c r="N15" s="1">
        <v>4.5</v>
      </c>
    </row>
    <row r="16" spans="1:14">
      <c r="A16" s="1" t="s">
        <v>32</v>
      </c>
      <c r="B16" s="6" t="s">
        <v>33</v>
      </c>
      <c r="C16" s="1" t="s">
        <v>16</v>
      </c>
      <c r="D16" s="6" t="s">
        <v>17</v>
      </c>
      <c r="E16" s="1">
        <v>1911201</v>
      </c>
      <c r="F16" s="1">
        <v>1949970</v>
      </c>
      <c r="G16" s="1">
        <v>1990673</v>
      </c>
      <c r="H16" s="1">
        <v>2033111</v>
      </c>
      <c r="I16" s="1">
        <v>2073535</v>
      </c>
      <c r="J16" s="1">
        <v>2108617</v>
      </c>
      <c r="K16" s="1">
        <v>2140682</v>
      </c>
      <c r="L16" s="1">
        <v>2172044</v>
      </c>
      <c r="M16" s="1">
        <v>2203273</v>
      </c>
      <c r="N16" s="1">
        <v>2234776</v>
      </c>
    </row>
    <row r="17" spans="1:14">
      <c r="A17" s="1" t="s">
        <v>32</v>
      </c>
      <c r="B17" s="6" t="s">
        <v>33</v>
      </c>
      <c r="C17" s="1" t="s">
        <v>18</v>
      </c>
      <c r="D17" s="6" t="s">
        <v>19</v>
      </c>
      <c r="E17" s="1">
        <v>10567270655.5027</v>
      </c>
      <c r="F17" s="1">
        <v>10730829116.4105</v>
      </c>
      <c r="G17" s="1">
        <v>10118459242.3183</v>
      </c>
      <c r="H17" s="1">
        <v>12637273429.1339</v>
      </c>
      <c r="I17" s="1">
        <v>15110643612.1729</v>
      </c>
      <c r="J17" s="1">
        <v>13907464500.1489</v>
      </c>
      <c r="K17" s="1">
        <v>14271738933.2042</v>
      </c>
      <c r="L17" s="1">
        <v>15470088500.7414</v>
      </c>
      <c r="M17" s="1">
        <v>13530748844.505</v>
      </c>
      <c r="N17" s="1">
        <v>15082637184.0496</v>
      </c>
    </row>
    <row r="18" spans="1:14">
      <c r="A18" s="1" t="s">
        <v>32</v>
      </c>
      <c r="B18" s="6" t="s">
        <v>33</v>
      </c>
      <c r="C18" s="1" t="s">
        <v>20</v>
      </c>
      <c r="D18" s="6" t="s">
        <v>21</v>
      </c>
      <c r="E18" s="1">
        <v>29</v>
      </c>
      <c r="F18" s="1">
        <v>36</v>
      </c>
      <c r="G18" s="1">
        <v>44</v>
      </c>
      <c r="H18" s="1">
        <v>49</v>
      </c>
      <c r="I18" s="1">
        <v>54</v>
      </c>
      <c r="J18" s="1">
        <v>61</v>
      </c>
      <c r="K18" s="1">
        <v>65</v>
      </c>
      <c r="L18" s="1">
        <v>67</v>
      </c>
      <c r="M18" s="1">
        <v>72</v>
      </c>
      <c r="N18" s="1">
        <v>76</v>
      </c>
    </row>
    <row r="19" spans="1:14">
      <c r="A19" s="1" t="s">
        <v>32</v>
      </c>
      <c r="B19" s="6" t="s">
        <v>33</v>
      </c>
      <c r="C19" s="1" t="s">
        <v>22</v>
      </c>
      <c r="D19" s="6" t="s">
        <v>23</v>
      </c>
      <c r="E19" s="1">
        <v>78</v>
      </c>
      <c r="F19" s="1">
        <v>79</v>
      </c>
      <c r="G19" s="1">
        <v>88</v>
      </c>
      <c r="H19" s="1">
        <v>79</v>
      </c>
      <c r="I19" s="1">
        <v>70</v>
      </c>
      <c r="J19" s="1">
        <v>89</v>
      </c>
      <c r="K19" s="1">
        <v>91</v>
      </c>
      <c r="L19" s="1">
        <v>84</v>
      </c>
      <c r="M19" s="1">
        <v>88</v>
      </c>
      <c r="N19" s="1">
        <v>87</v>
      </c>
    </row>
    <row r="20" spans="1:14">
      <c r="A20" s="1" t="s">
        <v>32</v>
      </c>
      <c r="B20" s="6" t="s">
        <v>33</v>
      </c>
      <c r="C20" s="1" t="s">
        <v>24</v>
      </c>
      <c r="D20" s="6" t="s">
        <v>25</v>
      </c>
      <c r="E20" s="1">
        <v>12.8</v>
      </c>
      <c r="F20" s="1">
        <v>12</v>
      </c>
      <c r="G20" s="1">
        <v>11.4</v>
      </c>
      <c r="H20" s="1">
        <v>10.9</v>
      </c>
      <c r="I20" s="1">
        <v>10.7</v>
      </c>
      <c r="J20" s="1">
        <v>10.5</v>
      </c>
      <c r="K20" s="1">
        <v>10.3</v>
      </c>
      <c r="L20" s="1">
        <v>10.2</v>
      </c>
      <c r="M20" s="1">
        <v>10.1</v>
      </c>
      <c r="N20" s="1">
        <v>9.9</v>
      </c>
    </row>
    <row r="21" spans="1:14">
      <c r="A21" s="1" t="s">
        <v>32</v>
      </c>
      <c r="B21" s="6" t="s">
        <v>33</v>
      </c>
      <c r="C21" s="1" t="s">
        <v>26</v>
      </c>
      <c r="D21" s="6" t="s">
        <v>27</v>
      </c>
      <c r="E21" s="1">
        <v>4.5</v>
      </c>
      <c r="F21" s="1">
        <v>4.4</v>
      </c>
      <c r="G21" s="1">
        <v>4.3</v>
      </c>
      <c r="H21" s="1">
        <v>4.3</v>
      </c>
      <c r="I21" s="1">
        <v>4.3</v>
      </c>
      <c r="J21" s="1">
        <v>4.4</v>
      </c>
      <c r="K21" s="1">
        <v>4.5</v>
      </c>
      <c r="L21" s="1">
        <v>4.6</v>
      </c>
      <c r="M21" s="1">
        <v>4.6</v>
      </c>
      <c r="N21" s="1">
        <v>4.6</v>
      </c>
    </row>
    <row r="22" spans="1:14">
      <c r="A22" s="1" t="s">
        <v>32</v>
      </c>
      <c r="B22" s="6" t="s">
        <v>33</v>
      </c>
      <c r="C22" s="1" t="s">
        <v>28</v>
      </c>
      <c r="D22" s="6" t="s">
        <v>29</v>
      </c>
      <c r="E22" s="1">
        <v>23.6</v>
      </c>
      <c r="F22" s="1">
        <v>23.4</v>
      </c>
      <c r="G22" s="1">
        <v>23.2</v>
      </c>
      <c r="H22" s="1">
        <v>23</v>
      </c>
      <c r="I22" s="1">
        <v>22.8</v>
      </c>
      <c r="J22" s="1">
        <v>22.7</v>
      </c>
      <c r="K22" s="1">
        <v>22.4</v>
      </c>
      <c r="L22" s="1">
        <v>22.1</v>
      </c>
      <c r="M22" s="1">
        <v>21.8</v>
      </c>
      <c r="N22" s="1">
        <v>21.4</v>
      </c>
    </row>
    <row r="23" spans="1:14">
      <c r="B23" s="6"/>
      <c r="D23" s="6"/>
    </row>
    <row r="24" spans="1:14">
      <c r="B24" s="6"/>
      <c r="D24" s="6"/>
    </row>
    <row r="25" spans="1:14">
      <c r="B25" s="6"/>
      <c r="D25" s="6"/>
    </row>
    <row r="26" spans="1:14">
      <c r="A26" s="1" t="s">
        <v>34</v>
      </c>
      <c r="B26" s="6"/>
      <c r="D26" s="6"/>
    </row>
    <row r="27" spans="1:14">
      <c r="A27" s="1" t="s">
        <v>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zoomScale="63" zoomScaleNormal="63" workbookViewId="0">
      <selection activeCell="K44" sqref="K44"/>
    </sheetView>
  </sheetViews>
  <sheetFormatPr defaultColWidth="9.02654867256637" defaultRowHeight="13.5"/>
  <cols>
    <col min="1" max="1" width="12.3008849557522" style="1" customWidth="1"/>
    <col min="2" max="2" width="9.02654867256637" style="1"/>
    <col min="3" max="4" width="22.0088495575221" style="1" customWidth="1"/>
    <col min="5" max="5" width="21.7433628318584" style="1" customWidth="1"/>
    <col min="6" max="6" width="23.0619469026549" style="1" customWidth="1"/>
    <col min="7" max="7" width="18.4159292035398" style="1" customWidth="1"/>
    <col min="8" max="8" width="21.2920353982301" style="1" customWidth="1"/>
    <col min="9" max="9" width="12.8407079646018" style="1" customWidth="1"/>
    <col min="10" max="10" width="20.9380530973451" style="1" customWidth="1"/>
    <col min="11" max="11" width="33.2300884955752" style="1" customWidth="1"/>
    <col min="12" max="16384" width="9.02654867256637" style="1"/>
  </cols>
  <sheetData>
    <row r="1" spans="1:11">
      <c r="A1" s="1" t="s">
        <v>36</v>
      </c>
      <c r="B1" s="1" t="s">
        <v>37</v>
      </c>
      <c r="C1" s="1" t="s">
        <v>38</v>
      </c>
      <c r="D1" s="1" t="s">
        <v>39</v>
      </c>
      <c r="E1" s="1" t="s">
        <v>40</v>
      </c>
      <c r="F1" s="1" t="s">
        <v>41</v>
      </c>
      <c r="G1" s="1" t="s">
        <v>42</v>
      </c>
      <c r="H1" s="1" t="s">
        <v>43</v>
      </c>
      <c r="I1" s="1" t="s">
        <v>44</v>
      </c>
      <c r="J1" s="1" t="s">
        <v>45</v>
      </c>
      <c r="K1" s="1" t="s">
        <v>46</v>
      </c>
    </row>
    <row r="2" spans="1:11">
      <c r="A2" s="1" t="s">
        <v>14</v>
      </c>
      <c r="B2" s="1">
        <v>2007</v>
      </c>
      <c r="C2" s="1">
        <v>49</v>
      </c>
      <c r="D2" s="1">
        <v>15.8</v>
      </c>
      <c r="E2" s="1">
        <v>4.7</v>
      </c>
      <c r="F2" s="1">
        <v>10</v>
      </c>
      <c r="G2" s="1">
        <v>49</v>
      </c>
      <c r="H2" s="5">
        <v>5100000</v>
      </c>
      <c r="I2" s="1">
        <v>370000</v>
      </c>
      <c r="J2" s="5">
        <v>3000000</v>
      </c>
    </row>
    <row r="3" spans="1:11">
      <c r="A3" s="1" t="s">
        <v>14</v>
      </c>
      <c r="B3" s="1">
        <v>2008</v>
      </c>
      <c r="C3" s="1">
        <v>63</v>
      </c>
      <c r="D3" s="1">
        <v>15.3</v>
      </c>
      <c r="E3" s="1">
        <v>4.5</v>
      </c>
      <c r="F3" s="1">
        <v>14</v>
      </c>
      <c r="G3" s="1">
        <v>63</v>
      </c>
      <c r="H3" s="5">
        <v>5300000</v>
      </c>
      <c r="I3" s="1">
        <v>360000</v>
      </c>
      <c r="J3" s="5">
        <v>3100000</v>
      </c>
    </row>
    <row r="4" spans="1:11">
      <c r="A4" s="1" t="s">
        <v>14</v>
      </c>
      <c r="B4" s="1">
        <v>2009</v>
      </c>
      <c r="C4" s="1">
        <v>79</v>
      </c>
      <c r="D4" s="1">
        <v>14.8</v>
      </c>
      <c r="E4" s="1">
        <v>4.4</v>
      </c>
      <c r="F4" s="1">
        <v>19</v>
      </c>
      <c r="G4" s="1">
        <v>79</v>
      </c>
      <c r="H4" s="5">
        <v>5500000</v>
      </c>
      <c r="I4" s="1">
        <v>340000</v>
      </c>
      <c r="J4" s="5">
        <v>3300000</v>
      </c>
    </row>
    <row r="5" spans="1:11">
      <c r="A5" s="1" t="s">
        <v>14</v>
      </c>
      <c r="B5" s="1">
        <v>2010</v>
      </c>
      <c r="C5" s="1">
        <v>93</v>
      </c>
      <c r="D5" s="1">
        <v>14.3</v>
      </c>
      <c r="E5" s="1">
        <v>4.3</v>
      </c>
      <c r="F5" s="1">
        <v>25</v>
      </c>
      <c r="G5" s="1">
        <v>93</v>
      </c>
      <c r="H5" s="5">
        <v>5700000</v>
      </c>
      <c r="I5" s="1">
        <v>310000</v>
      </c>
      <c r="J5" s="5">
        <v>3400000</v>
      </c>
      <c r="K5" s="5">
        <v>8</v>
      </c>
    </row>
    <row r="6" spans="1:11">
      <c r="A6" s="1" t="s">
        <v>14</v>
      </c>
      <c r="B6" s="1">
        <v>2011</v>
      </c>
      <c r="C6" s="1">
        <v>100</v>
      </c>
      <c r="D6" s="1">
        <v>13.9</v>
      </c>
      <c r="E6" s="1">
        <v>4.2</v>
      </c>
      <c r="F6" s="1">
        <v>33</v>
      </c>
      <c r="G6" s="1">
        <v>100</v>
      </c>
      <c r="H6" s="5">
        <v>5900000</v>
      </c>
      <c r="I6" s="1">
        <v>280000</v>
      </c>
      <c r="J6" s="5">
        <v>3500000</v>
      </c>
      <c r="K6" s="5">
        <v>6</v>
      </c>
    </row>
    <row r="7" spans="1:11">
      <c r="A7" s="1" t="s">
        <v>14</v>
      </c>
      <c r="B7" s="1">
        <v>2012</v>
      </c>
      <c r="C7" s="1">
        <v>100</v>
      </c>
      <c r="D7" s="1">
        <v>13.5</v>
      </c>
      <c r="E7" s="1">
        <v>4.1</v>
      </c>
      <c r="F7" s="1">
        <v>40</v>
      </c>
      <c r="G7" s="1">
        <v>100</v>
      </c>
      <c r="H7" s="5">
        <v>6100000</v>
      </c>
      <c r="I7" s="1">
        <v>240000</v>
      </c>
      <c r="J7" s="5">
        <v>3700000</v>
      </c>
      <c r="K7" s="5">
        <v>5</v>
      </c>
    </row>
    <row r="8" spans="1:11">
      <c r="A8" s="1" t="s">
        <v>14</v>
      </c>
      <c r="B8" s="1">
        <v>2013</v>
      </c>
      <c r="C8" s="1">
        <v>100</v>
      </c>
      <c r="D8" s="1">
        <v>13.1</v>
      </c>
      <c r="E8" s="1">
        <v>4.1</v>
      </c>
      <c r="F8" s="1">
        <v>45</v>
      </c>
      <c r="G8" s="1">
        <v>100</v>
      </c>
      <c r="H8" s="5">
        <v>6300000</v>
      </c>
      <c r="I8" s="1">
        <v>200000</v>
      </c>
      <c r="J8" s="5">
        <v>3800000</v>
      </c>
      <c r="K8" s="5">
        <v>5</v>
      </c>
    </row>
    <row r="9" spans="1:11">
      <c r="A9" s="1" t="s">
        <v>14</v>
      </c>
      <c r="B9" s="1">
        <v>2014</v>
      </c>
      <c r="C9" s="1">
        <v>100</v>
      </c>
      <c r="D9" s="1">
        <v>12.9</v>
      </c>
      <c r="E9" s="1">
        <v>4.1</v>
      </c>
      <c r="F9" s="1">
        <v>49</v>
      </c>
      <c r="G9" s="1">
        <v>100</v>
      </c>
      <c r="H9" s="5">
        <v>6500000</v>
      </c>
      <c r="I9" s="1">
        <v>170000</v>
      </c>
      <c r="J9" s="5">
        <v>4000000</v>
      </c>
      <c r="K9" s="5">
        <v>4</v>
      </c>
    </row>
    <row r="10" spans="1:11">
      <c r="A10" s="1" t="s">
        <v>14</v>
      </c>
      <c r="B10" s="1">
        <v>2015</v>
      </c>
      <c r="C10" s="1">
        <v>95</v>
      </c>
      <c r="D10" s="1">
        <v>12.6</v>
      </c>
      <c r="E10" s="1">
        <v>4.2</v>
      </c>
      <c r="F10" s="1">
        <v>54</v>
      </c>
      <c r="G10" s="1">
        <v>95</v>
      </c>
      <c r="H10" s="5">
        <v>6700000</v>
      </c>
      <c r="I10" s="1">
        <v>150000</v>
      </c>
      <c r="J10" s="5">
        <v>4100000</v>
      </c>
      <c r="K10" s="5">
        <v>4</v>
      </c>
    </row>
    <row r="11" spans="1:11">
      <c r="A11" s="1" t="s">
        <v>14</v>
      </c>
      <c r="B11" s="1">
        <v>2016</v>
      </c>
      <c r="C11" s="1">
        <v>93</v>
      </c>
      <c r="D11" s="1">
        <v>12.4</v>
      </c>
      <c r="E11" s="1">
        <v>4.2</v>
      </c>
      <c r="F11" s="1">
        <v>60</v>
      </c>
      <c r="G11" s="1">
        <v>93</v>
      </c>
      <c r="H11" s="5">
        <v>6900000</v>
      </c>
      <c r="I11" s="1">
        <v>130000</v>
      </c>
      <c r="J11" s="5">
        <v>4300000</v>
      </c>
      <c r="K11" s="5">
        <v>4</v>
      </c>
    </row>
    <row r="12" spans="1:11">
      <c r="A12" s="1" t="s">
        <v>30</v>
      </c>
      <c r="B12" s="1">
        <v>2007</v>
      </c>
      <c r="C12" s="1">
        <v>3.6</v>
      </c>
      <c r="D12" s="1">
        <v>1.3</v>
      </c>
      <c r="E12" s="1">
        <v>6</v>
      </c>
      <c r="F12" s="1">
        <v>13</v>
      </c>
      <c r="G12" s="1">
        <v>57</v>
      </c>
      <c r="H12" s="5">
        <v>6900000</v>
      </c>
      <c r="I12" s="1">
        <v>64000</v>
      </c>
      <c r="J12" s="5">
        <v>760000</v>
      </c>
    </row>
    <row r="13" spans="1:11">
      <c r="A13" s="1" t="s">
        <v>30</v>
      </c>
      <c r="B13" s="1">
        <v>2008</v>
      </c>
      <c r="C13" s="1">
        <v>3.5</v>
      </c>
      <c r="D13" s="1">
        <v>1.4</v>
      </c>
      <c r="E13" s="1">
        <v>5.8</v>
      </c>
      <c r="F13" s="1">
        <v>18</v>
      </c>
      <c r="G13" s="1">
        <v>76</v>
      </c>
      <c r="H13" s="5">
        <v>6900000</v>
      </c>
      <c r="I13" s="1">
        <v>61000</v>
      </c>
      <c r="J13" s="5">
        <v>760000</v>
      </c>
    </row>
    <row r="14" spans="1:11">
      <c r="A14" s="1" t="s">
        <v>30</v>
      </c>
      <c r="B14" s="1">
        <v>2009</v>
      </c>
      <c r="C14" s="1">
        <v>3.4</v>
      </c>
      <c r="D14" s="1">
        <v>1.4</v>
      </c>
      <c r="E14" s="1">
        <v>5.6</v>
      </c>
      <c r="F14" s="1">
        <v>24</v>
      </c>
      <c r="G14" s="1">
        <v>78</v>
      </c>
      <c r="H14" s="5">
        <v>6900000</v>
      </c>
      <c r="I14" s="1">
        <v>58000</v>
      </c>
      <c r="J14" s="5">
        <v>750000</v>
      </c>
    </row>
    <row r="15" spans="1:11">
      <c r="A15" s="1" t="s">
        <v>30</v>
      </c>
      <c r="B15" s="1">
        <v>2010</v>
      </c>
      <c r="C15" s="1">
        <v>3.3</v>
      </c>
      <c r="D15" s="1">
        <v>1.5</v>
      </c>
      <c r="E15" s="1">
        <v>5.5</v>
      </c>
      <c r="F15" s="1">
        <v>31</v>
      </c>
      <c r="G15" s="1">
        <v>50</v>
      </c>
      <c r="H15" s="5">
        <v>6900000</v>
      </c>
      <c r="I15" s="1">
        <v>54000</v>
      </c>
      <c r="J15" s="5">
        <v>760000</v>
      </c>
      <c r="K15" s="5">
        <v>20</v>
      </c>
    </row>
    <row r="16" spans="1:11">
      <c r="A16" s="5" t="s">
        <v>30</v>
      </c>
      <c r="B16" s="1">
        <v>2011</v>
      </c>
      <c r="C16" s="1">
        <v>3.3</v>
      </c>
      <c r="D16" s="1">
        <v>1.6</v>
      </c>
      <c r="E16" s="1">
        <v>5.3</v>
      </c>
      <c r="F16" s="1">
        <v>38</v>
      </c>
      <c r="G16" s="1">
        <v>69</v>
      </c>
      <c r="H16" s="5">
        <v>6900000</v>
      </c>
      <c r="I16" s="1">
        <v>50000</v>
      </c>
      <c r="J16" s="5">
        <v>760000</v>
      </c>
      <c r="K16" s="5">
        <v>16</v>
      </c>
    </row>
    <row r="17" spans="1:11">
      <c r="A17" s="5" t="s">
        <v>30</v>
      </c>
      <c r="B17" s="1">
        <v>2012</v>
      </c>
      <c r="C17" s="1">
        <v>3.2</v>
      </c>
      <c r="D17" s="1">
        <v>1.6</v>
      </c>
      <c r="E17" s="1">
        <v>5.2</v>
      </c>
      <c r="F17" s="1">
        <v>43</v>
      </c>
      <c r="G17" s="1">
        <v>57</v>
      </c>
      <c r="H17" s="5">
        <v>6900000</v>
      </c>
      <c r="I17" s="1">
        <v>46000</v>
      </c>
      <c r="J17" s="5">
        <v>770000</v>
      </c>
      <c r="K17" s="5">
        <v>19</v>
      </c>
    </row>
    <row r="18" spans="1:11">
      <c r="A18" s="5" t="s">
        <v>30</v>
      </c>
      <c r="B18" s="1">
        <v>2013</v>
      </c>
      <c r="C18" s="1">
        <v>3.1</v>
      </c>
      <c r="D18" s="1">
        <v>1.6</v>
      </c>
      <c r="E18" s="1">
        <v>5</v>
      </c>
      <c r="F18" s="1">
        <v>47</v>
      </c>
      <c r="G18" s="1">
        <v>59</v>
      </c>
      <c r="H18" s="5">
        <v>6900000</v>
      </c>
      <c r="I18" s="1">
        <v>42000</v>
      </c>
      <c r="J18" s="5">
        <v>780000</v>
      </c>
      <c r="K18" s="5">
        <v>18</v>
      </c>
    </row>
    <row r="19" spans="1:11">
      <c r="A19" s="5" t="s">
        <v>30</v>
      </c>
      <c r="B19" s="1">
        <v>2014</v>
      </c>
      <c r="C19" s="1">
        <v>2.9</v>
      </c>
      <c r="D19" s="1">
        <v>1.6</v>
      </c>
      <c r="E19" s="1">
        <v>4.9</v>
      </c>
      <c r="F19" s="1">
        <v>54</v>
      </c>
      <c r="G19" s="1">
        <v>70</v>
      </c>
      <c r="H19" s="5">
        <v>6900000</v>
      </c>
      <c r="I19" s="1">
        <v>39000</v>
      </c>
      <c r="J19" s="5">
        <v>790000</v>
      </c>
      <c r="K19" s="5">
        <v>16</v>
      </c>
    </row>
    <row r="20" spans="1:11">
      <c r="A20" s="5" t="s">
        <v>30</v>
      </c>
      <c r="B20" s="1">
        <v>2015</v>
      </c>
      <c r="C20" s="1">
        <v>2.8</v>
      </c>
      <c r="D20" s="1">
        <v>1.6</v>
      </c>
      <c r="E20" s="1">
        <v>4.7</v>
      </c>
      <c r="F20" s="1">
        <v>65</v>
      </c>
      <c r="G20" s="1">
        <v>90</v>
      </c>
      <c r="H20" s="5">
        <v>6900000</v>
      </c>
      <c r="I20" s="1">
        <v>36000</v>
      </c>
      <c r="J20" s="5">
        <v>800000</v>
      </c>
      <c r="K20" s="5">
        <v>10</v>
      </c>
    </row>
    <row r="21" spans="1:11">
      <c r="A21" s="5" t="s">
        <v>30</v>
      </c>
      <c r="B21" s="1">
        <v>2016</v>
      </c>
      <c r="C21" s="1">
        <v>2.6</v>
      </c>
      <c r="D21" s="1">
        <v>1.5</v>
      </c>
      <c r="E21" s="1">
        <v>4.5</v>
      </c>
      <c r="F21" s="1">
        <v>74</v>
      </c>
      <c r="G21" s="1">
        <v>92</v>
      </c>
      <c r="H21" s="5">
        <v>6900000</v>
      </c>
      <c r="I21" s="1">
        <v>33000</v>
      </c>
      <c r="J21" s="5">
        <v>800000</v>
      </c>
      <c r="K21" s="5">
        <v>9</v>
      </c>
    </row>
    <row r="22" spans="1:11">
      <c r="A22" s="5" t="s">
        <v>32</v>
      </c>
      <c r="B22" s="1">
        <v>2007</v>
      </c>
      <c r="C22" s="1">
        <v>12.8</v>
      </c>
      <c r="D22" s="1">
        <v>4.5</v>
      </c>
      <c r="E22" s="1">
        <v>23.6</v>
      </c>
      <c r="F22" s="1">
        <v>29</v>
      </c>
      <c r="G22" s="1">
        <v>78</v>
      </c>
      <c r="H22" s="5">
        <v>6900000</v>
      </c>
      <c r="I22" s="1">
        <v>11000</v>
      </c>
      <c r="J22" s="5">
        <v>170000</v>
      </c>
    </row>
    <row r="23" spans="1:11">
      <c r="A23" s="5" t="s">
        <v>32</v>
      </c>
      <c r="B23" s="1">
        <v>2008</v>
      </c>
      <c r="C23" s="1">
        <v>12</v>
      </c>
      <c r="D23" s="1">
        <v>4.4</v>
      </c>
      <c r="E23" s="1">
        <v>23.4</v>
      </c>
      <c r="F23" s="1">
        <v>36</v>
      </c>
      <c r="G23" s="1">
        <v>79</v>
      </c>
      <c r="H23" s="5">
        <v>6900000</v>
      </c>
      <c r="I23" s="1">
        <v>9800</v>
      </c>
      <c r="J23" s="5">
        <v>170000</v>
      </c>
    </row>
    <row r="24" spans="1:11">
      <c r="A24" s="5" t="s">
        <v>32</v>
      </c>
      <c r="B24" s="1">
        <v>2009</v>
      </c>
      <c r="C24" s="1">
        <v>11.4</v>
      </c>
      <c r="D24" s="1">
        <v>4.3</v>
      </c>
      <c r="E24" s="1">
        <v>23.2</v>
      </c>
      <c r="F24" s="1">
        <v>44</v>
      </c>
      <c r="G24" s="1">
        <v>88</v>
      </c>
      <c r="H24" s="5">
        <v>6900000</v>
      </c>
      <c r="I24" s="1">
        <v>8500</v>
      </c>
      <c r="J24" s="5">
        <v>180000</v>
      </c>
    </row>
    <row r="25" spans="1:11">
      <c r="A25" s="5" t="s">
        <v>32</v>
      </c>
      <c r="B25" s="1">
        <v>2010</v>
      </c>
      <c r="C25" s="1">
        <v>10.9</v>
      </c>
      <c r="D25" s="1">
        <v>4.3</v>
      </c>
      <c r="E25" s="1">
        <v>23</v>
      </c>
      <c r="F25" s="1">
        <v>49</v>
      </c>
      <c r="G25" s="1">
        <v>79</v>
      </c>
      <c r="H25" s="5">
        <v>6900000</v>
      </c>
      <c r="I25" s="1">
        <v>7100</v>
      </c>
      <c r="J25" s="5">
        <v>180000</v>
      </c>
      <c r="K25" s="5">
        <v>8</v>
      </c>
    </row>
    <row r="26" spans="1:11">
      <c r="A26" s="5" t="s">
        <v>32</v>
      </c>
      <c r="B26" s="1">
        <v>2011</v>
      </c>
      <c r="C26" s="1">
        <v>10.7</v>
      </c>
      <c r="D26" s="1">
        <v>4.3</v>
      </c>
      <c r="E26" s="1">
        <v>22.8</v>
      </c>
      <c r="F26" s="1">
        <v>54</v>
      </c>
      <c r="G26" s="1">
        <v>70</v>
      </c>
      <c r="H26" s="5">
        <v>6900000</v>
      </c>
      <c r="I26" s="1">
        <v>5900</v>
      </c>
      <c r="J26" s="5">
        <v>190000</v>
      </c>
      <c r="K26" s="5">
        <v>10</v>
      </c>
    </row>
    <row r="27" spans="1:11">
      <c r="A27" s="5" t="s">
        <v>32</v>
      </c>
      <c r="B27" s="1">
        <v>2012</v>
      </c>
      <c r="C27" s="1">
        <v>10.5</v>
      </c>
      <c r="D27" s="1">
        <v>4.4</v>
      </c>
      <c r="E27" s="1">
        <v>22.7</v>
      </c>
      <c r="F27" s="1">
        <v>61</v>
      </c>
      <c r="G27" s="1">
        <v>89</v>
      </c>
      <c r="H27" s="5">
        <v>6000000</v>
      </c>
      <c r="I27" s="1">
        <v>4800</v>
      </c>
      <c r="J27" s="5">
        <v>190000</v>
      </c>
      <c r="K27" s="5">
        <v>6</v>
      </c>
    </row>
    <row r="28" spans="1:11">
      <c r="A28" s="5" t="s">
        <v>32</v>
      </c>
      <c r="B28" s="1">
        <v>2013</v>
      </c>
      <c r="C28" s="1">
        <v>10.3</v>
      </c>
      <c r="D28" s="1">
        <v>4.5</v>
      </c>
      <c r="E28" s="1">
        <v>22.4</v>
      </c>
      <c r="F28" s="1">
        <v>65</v>
      </c>
      <c r="G28" s="1">
        <v>91</v>
      </c>
      <c r="H28" s="5">
        <v>6900000</v>
      </c>
      <c r="I28" s="1">
        <v>4100</v>
      </c>
      <c r="J28" s="5">
        <v>190000</v>
      </c>
      <c r="K28" s="5">
        <v>4</v>
      </c>
    </row>
    <row r="29" spans="1:11">
      <c r="A29" s="5" t="s">
        <v>32</v>
      </c>
      <c r="B29" s="1">
        <v>2014</v>
      </c>
      <c r="C29" s="1">
        <v>10.2</v>
      </c>
      <c r="D29" s="1">
        <v>4.6</v>
      </c>
      <c r="E29" s="1">
        <v>22.1</v>
      </c>
      <c r="F29" s="1">
        <v>67</v>
      </c>
      <c r="G29" s="1">
        <v>84</v>
      </c>
      <c r="H29" s="5">
        <v>6900000</v>
      </c>
      <c r="I29" s="1">
        <v>3500</v>
      </c>
      <c r="J29" s="5">
        <v>200000</v>
      </c>
      <c r="K29" s="5">
        <v>6</v>
      </c>
    </row>
    <row r="30" spans="1:11">
      <c r="A30" s="5" t="s">
        <v>32</v>
      </c>
      <c r="B30" s="1">
        <v>2015</v>
      </c>
      <c r="C30" s="1">
        <v>10.1</v>
      </c>
      <c r="D30" s="1">
        <v>4.6</v>
      </c>
      <c r="E30" s="1">
        <v>21.8</v>
      </c>
      <c r="F30" s="1">
        <v>72</v>
      </c>
      <c r="G30" s="1">
        <v>88</v>
      </c>
      <c r="H30" s="5">
        <v>6900000</v>
      </c>
      <c r="I30" s="1">
        <v>3100</v>
      </c>
      <c r="J30" s="5">
        <v>200000</v>
      </c>
      <c r="K30" s="5">
        <v>5</v>
      </c>
    </row>
    <row r="31" spans="1:11">
      <c r="A31" s="5" t="s">
        <v>32</v>
      </c>
      <c r="B31" s="1">
        <v>2016</v>
      </c>
      <c r="C31" s="1">
        <v>9.9</v>
      </c>
      <c r="D31" s="1">
        <v>4.6</v>
      </c>
      <c r="E31" s="1">
        <v>21.4</v>
      </c>
      <c r="F31" s="1">
        <v>76</v>
      </c>
      <c r="G31" s="1">
        <v>87</v>
      </c>
      <c r="H31" s="5">
        <v>6900000</v>
      </c>
      <c r="I31" s="1">
        <v>2800</v>
      </c>
      <c r="J31" s="5">
        <v>210000</v>
      </c>
      <c r="K31" s="5">
        <v>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I12" sqref="I12"/>
    </sheetView>
  </sheetViews>
  <sheetFormatPr defaultColWidth="9.02654867256637" defaultRowHeight="13.5" outlineLevelCol="4"/>
  <cols>
    <col min="1" max="1" width="12.3008849557522" style="1" customWidth="1"/>
    <col min="2" max="2" width="9.02654867256637" style="1"/>
    <col min="3" max="3" width="10.6991150442478" style="1" customWidth="1"/>
    <col min="4" max="4" width="16.4867256637168" style="1" customWidth="1"/>
    <col min="5" max="5" width="12.5663716814159" style="1" customWidth="1"/>
    <col min="6" max="16384" width="9.02654867256637" style="1"/>
  </cols>
  <sheetData>
    <row r="1" spans="1:5">
      <c r="A1" s="1" t="s">
        <v>36</v>
      </c>
      <c r="B1" s="1" t="s">
        <v>37</v>
      </c>
      <c r="C1" s="1" t="s">
        <v>47</v>
      </c>
      <c r="D1" s="1" t="s">
        <v>48</v>
      </c>
      <c r="E1" s="1" t="s">
        <v>49</v>
      </c>
    </row>
    <row r="2" spans="1:5">
      <c r="A2" s="1" t="s">
        <v>14</v>
      </c>
      <c r="B2" s="1">
        <v>2007</v>
      </c>
      <c r="C2" s="1">
        <v>50528584</v>
      </c>
      <c r="D2" s="1">
        <v>333077117253.684</v>
      </c>
      <c r="E2" s="1">
        <v>22.3</v>
      </c>
    </row>
    <row r="3" spans="1:5">
      <c r="A3" s="1" t="s">
        <v>14</v>
      </c>
      <c r="B3" s="1">
        <v>2008</v>
      </c>
      <c r="C3" s="1">
        <v>51114599</v>
      </c>
      <c r="D3" s="1">
        <v>316131258616.309</v>
      </c>
      <c r="E3" s="1">
        <v>22.7</v>
      </c>
    </row>
    <row r="4" spans="1:5">
      <c r="A4" s="1" t="s">
        <v>14</v>
      </c>
      <c r="B4" s="1">
        <v>2009</v>
      </c>
      <c r="C4" s="1">
        <v>51728516</v>
      </c>
      <c r="D4" s="1">
        <v>329754060647.129</v>
      </c>
      <c r="E4" s="1">
        <v>23.7</v>
      </c>
    </row>
    <row r="5" spans="1:5">
      <c r="A5" s="1" t="s">
        <v>14</v>
      </c>
      <c r="B5" s="1">
        <v>2010</v>
      </c>
      <c r="C5" s="1">
        <v>52344051</v>
      </c>
      <c r="D5" s="1">
        <v>417363822801.713</v>
      </c>
      <c r="E5" s="1">
        <v>24.7</v>
      </c>
    </row>
    <row r="6" spans="1:5">
      <c r="A6" s="1" t="s">
        <v>14</v>
      </c>
      <c r="B6" s="1">
        <v>2011</v>
      </c>
      <c r="C6" s="1">
        <v>52995205</v>
      </c>
      <c r="D6" s="1">
        <v>458199494830.834</v>
      </c>
      <c r="E6" s="1">
        <v>24.7</v>
      </c>
    </row>
    <row r="7" spans="1:5">
      <c r="A7" s="1" t="s">
        <v>14</v>
      </c>
      <c r="B7" s="1">
        <v>2012</v>
      </c>
      <c r="C7" s="1">
        <v>53782567</v>
      </c>
      <c r="D7" s="1">
        <v>434400545085.811</v>
      </c>
      <c r="E7" s="1">
        <v>24.9</v>
      </c>
    </row>
    <row r="8" spans="1:5">
      <c r="A8" s="1" t="s">
        <v>14</v>
      </c>
      <c r="B8" s="1">
        <v>2013</v>
      </c>
      <c r="C8" s="1">
        <v>54678791</v>
      </c>
      <c r="D8" s="1">
        <v>400886013595.573</v>
      </c>
      <c r="E8" s="1">
        <v>24.7</v>
      </c>
    </row>
    <row r="9" spans="1:5">
      <c r="A9" s="1" t="s">
        <v>14</v>
      </c>
      <c r="B9" s="1">
        <v>2014</v>
      </c>
      <c r="C9" s="1">
        <v>55594838</v>
      </c>
      <c r="D9" s="1">
        <v>381198869776.106</v>
      </c>
      <c r="E9" s="1">
        <v>25.1</v>
      </c>
    </row>
    <row r="10" spans="1:5">
      <c r="A10" s="1" t="s">
        <v>14</v>
      </c>
      <c r="B10" s="1">
        <v>2015</v>
      </c>
      <c r="C10" s="1">
        <v>56723537</v>
      </c>
      <c r="D10" s="1">
        <v>346709790458.563</v>
      </c>
      <c r="E10" s="1">
        <v>25.4</v>
      </c>
    </row>
    <row r="11" spans="1:5">
      <c r="A11" s="1" t="s">
        <v>14</v>
      </c>
      <c r="B11" s="1">
        <v>2016</v>
      </c>
      <c r="C11" s="1">
        <v>57259551</v>
      </c>
      <c r="D11" s="1">
        <v>323585509674.481</v>
      </c>
      <c r="E11" s="1">
        <v>26.7</v>
      </c>
    </row>
    <row r="12" spans="1:5">
      <c r="A12" s="1" t="s">
        <v>30</v>
      </c>
      <c r="B12" s="1">
        <v>2007</v>
      </c>
      <c r="C12" s="1">
        <v>38036349</v>
      </c>
      <c r="D12" s="1">
        <v>31958195182.2406</v>
      </c>
      <c r="E12" s="1">
        <v>2.7</v>
      </c>
    </row>
    <row r="13" spans="1:5">
      <c r="A13" s="1" t="s">
        <v>30</v>
      </c>
      <c r="B13" s="1">
        <v>2008</v>
      </c>
      <c r="C13" s="1">
        <v>39206351</v>
      </c>
      <c r="D13" s="1">
        <v>35895153327.8497</v>
      </c>
      <c r="E13" s="1">
        <v>2.7</v>
      </c>
    </row>
    <row r="14" spans="1:5">
      <c r="A14" s="1" t="s">
        <v>30</v>
      </c>
      <c r="B14" s="1">
        <v>2009</v>
      </c>
      <c r="C14" s="1">
        <v>40408891</v>
      </c>
      <c r="D14" s="1">
        <v>42347217912.9176</v>
      </c>
      <c r="E14" s="1">
        <v>2.7</v>
      </c>
    </row>
    <row r="15" spans="1:5">
      <c r="A15" s="1" t="s">
        <v>30</v>
      </c>
      <c r="B15" s="1">
        <v>2010</v>
      </c>
      <c r="C15" s="1">
        <v>41598567</v>
      </c>
      <c r="D15" s="1">
        <v>45405615063.7551</v>
      </c>
      <c r="E15" s="1">
        <v>2.7</v>
      </c>
    </row>
    <row r="16" spans="1:5">
      <c r="A16" s="5" t="s">
        <v>30</v>
      </c>
      <c r="B16" s="1">
        <v>2011</v>
      </c>
      <c r="C16" s="1">
        <v>42758461</v>
      </c>
      <c r="D16" s="1">
        <v>46869473150.61</v>
      </c>
      <c r="E16" s="1">
        <v>2.7</v>
      </c>
    </row>
    <row r="17" spans="1:5">
      <c r="A17" s="5" t="s">
        <v>30</v>
      </c>
      <c r="B17" s="1">
        <v>2012</v>
      </c>
      <c r="C17" s="1">
        <v>43888303</v>
      </c>
      <c r="D17" s="1">
        <v>56396704671.5777</v>
      </c>
      <c r="E17" s="1">
        <v>2.7</v>
      </c>
    </row>
    <row r="18" spans="1:5">
      <c r="A18" s="5" t="s">
        <v>30</v>
      </c>
      <c r="B18" s="1">
        <v>2013</v>
      </c>
      <c r="C18" s="1">
        <v>44986791</v>
      </c>
      <c r="D18" s="1">
        <v>61671440407.8387</v>
      </c>
      <c r="E18" s="1">
        <v>2.7</v>
      </c>
    </row>
    <row r="19" spans="1:5">
      <c r="A19" s="5" t="s">
        <v>30</v>
      </c>
      <c r="B19" s="1">
        <v>2014</v>
      </c>
      <c r="C19" s="1">
        <v>46051440</v>
      </c>
      <c r="D19" s="1">
        <v>68285796514.2896</v>
      </c>
      <c r="E19" s="1">
        <v>2.8</v>
      </c>
    </row>
    <row r="20" spans="1:5">
      <c r="A20" s="5" t="s">
        <v>30</v>
      </c>
      <c r="B20" s="1">
        <v>2015</v>
      </c>
      <c r="C20" s="1">
        <v>47088526</v>
      </c>
      <c r="D20" s="1">
        <v>70120446896.8359</v>
      </c>
      <c r="E20" s="1">
        <v>2.8</v>
      </c>
    </row>
    <row r="21" spans="1:5">
      <c r="A21" s="5" t="s">
        <v>30</v>
      </c>
      <c r="B21" s="1">
        <v>2016</v>
      </c>
      <c r="C21" s="1">
        <v>48139687</v>
      </c>
      <c r="D21" s="1">
        <v>74815144163.8931</v>
      </c>
      <c r="E21" s="1">
        <v>2.8</v>
      </c>
    </row>
    <row r="22" spans="1:5">
      <c r="A22" s="5" t="s">
        <v>32</v>
      </c>
      <c r="B22" s="1">
        <v>2007</v>
      </c>
      <c r="C22" s="1">
        <v>1911201</v>
      </c>
      <c r="D22" s="1">
        <v>10567270655.5027</v>
      </c>
      <c r="E22" s="1">
        <v>17.6</v>
      </c>
    </row>
    <row r="23" spans="1:5">
      <c r="A23" s="5" t="s">
        <v>32</v>
      </c>
      <c r="B23" s="1">
        <v>2008</v>
      </c>
      <c r="C23" s="1">
        <v>1949970</v>
      </c>
      <c r="D23" s="1">
        <v>10730829116.4105</v>
      </c>
      <c r="E23" s="1">
        <v>17.7</v>
      </c>
    </row>
    <row r="24" spans="1:5">
      <c r="A24" s="5" t="s">
        <v>32</v>
      </c>
      <c r="B24" s="1">
        <v>2009</v>
      </c>
      <c r="C24" s="1">
        <v>1990673</v>
      </c>
      <c r="D24" s="1">
        <v>10118459242.3183</v>
      </c>
      <c r="E24" s="1">
        <v>17.8</v>
      </c>
    </row>
    <row r="25" spans="1:5">
      <c r="A25" s="5" t="s">
        <v>32</v>
      </c>
      <c r="B25" s="1">
        <v>2010</v>
      </c>
      <c r="C25" s="1">
        <v>2033111</v>
      </c>
      <c r="D25" s="1">
        <v>12637273429.1339</v>
      </c>
      <c r="E25" s="1">
        <v>17.9</v>
      </c>
    </row>
    <row r="26" spans="1:5">
      <c r="A26" s="5" t="s">
        <v>32</v>
      </c>
      <c r="B26" s="1">
        <v>2011</v>
      </c>
      <c r="C26" s="1">
        <v>2073535</v>
      </c>
      <c r="D26" s="1">
        <v>15110643612.1729</v>
      </c>
      <c r="E26" s="1">
        <v>18</v>
      </c>
    </row>
    <row r="27" spans="1:5">
      <c r="A27" s="5" t="s">
        <v>32</v>
      </c>
      <c r="B27" s="1">
        <v>2012</v>
      </c>
      <c r="C27" s="1">
        <v>2108617</v>
      </c>
      <c r="D27" s="1">
        <v>13907464500.1489</v>
      </c>
      <c r="E27" s="1">
        <v>18.1</v>
      </c>
    </row>
    <row r="28" spans="1:5">
      <c r="A28" s="5" t="s">
        <v>32</v>
      </c>
      <c r="B28" s="1">
        <v>2013</v>
      </c>
      <c r="C28" s="1">
        <v>2140682</v>
      </c>
      <c r="D28" s="1">
        <v>14271738933.2042</v>
      </c>
      <c r="E28" s="1">
        <v>18.5</v>
      </c>
    </row>
    <row r="29" spans="1:5">
      <c r="A29" s="5" t="s">
        <v>32</v>
      </c>
      <c r="B29" s="1">
        <v>2014</v>
      </c>
      <c r="C29" s="1">
        <v>2172044</v>
      </c>
      <c r="D29" s="1">
        <v>15470088500.7414</v>
      </c>
      <c r="E29" s="1">
        <v>19</v>
      </c>
    </row>
    <row r="30" spans="1:5">
      <c r="A30" s="5" t="s">
        <v>32</v>
      </c>
      <c r="B30" s="1">
        <v>2015</v>
      </c>
      <c r="C30" s="1">
        <v>2203273</v>
      </c>
      <c r="D30" s="1">
        <v>13530748844.505</v>
      </c>
      <c r="E30" s="1">
        <v>19.5</v>
      </c>
    </row>
    <row r="31" spans="1:5">
      <c r="A31" s="5" t="s">
        <v>32</v>
      </c>
      <c r="B31" s="1">
        <v>2016</v>
      </c>
      <c r="C31" s="1">
        <v>2234776</v>
      </c>
      <c r="D31" s="1">
        <v>15082637184.0496</v>
      </c>
      <c r="E31" s="1">
        <v>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tabSelected="1" zoomScale="69" zoomScaleNormal="69" workbookViewId="0">
      <selection activeCell="K34" sqref="K34"/>
    </sheetView>
  </sheetViews>
  <sheetFormatPr defaultColWidth="9.02654867256637" defaultRowHeight="13.5"/>
  <cols>
    <col min="1" max="1" width="12.3008849557522" style="3" customWidth="1"/>
    <col min="2" max="2" width="9.02654867256637" style="3"/>
    <col min="3" max="3" width="24.3982300884956" style="3" customWidth="1"/>
    <col min="4" max="4" width="21.7433628318584" style="3" customWidth="1"/>
    <col min="5" max="5" width="22.0088495575221" style="3" customWidth="1"/>
    <col min="6" max="6" width="23.0619469026549" style="3" customWidth="1"/>
    <col min="7" max="7" width="18.4159292035398" style="3" customWidth="1"/>
    <col min="8" max="8" width="10.6991150442478" style="3" customWidth="1"/>
    <col min="9" max="9" width="16.4867256637168" style="3" customWidth="1"/>
    <col min="10" max="10" width="21.2920353982301" style="3" customWidth="1"/>
    <col min="11" max="11" width="12.8407079646018" style="3" customWidth="1"/>
    <col min="12" max="12" width="20.9380530973451" style="3" customWidth="1"/>
    <col min="13" max="13" width="33.2300884955752" style="3" customWidth="1"/>
    <col min="14" max="14" width="18.3893805309735" style="3" customWidth="1"/>
    <col min="15" max="16384" width="9.02654867256637" style="3"/>
  </cols>
  <sheetData>
    <row r="1" spans="1:14">
      <c r="A1" s="1" t="s">
        <v>36</v>
      </c>
      <c r="B1" s="1" t="s">
        <v>37</v>
      </c>
      <c r="C1" s="1" t="s">
        <v>38</v>
      </c>
      <c r="D1" s="1" t="s">
        <v>39</v>
      </c>
      <c r="E1" s="1" t="s">
        <v>40</v>
      </c>
      <c r="F1" s="1" t="s">
        <v>41</v>
      </c>
      <c r="G1" s="1" t="s">
        <v>42</v>
      </c>
      <c r="H1" s="1" t="s">
        <v>47</v>
      </c>
      <c r="I1" s="1" t="s">
        <v>48</v>
      </c>
      <c r="J1" s="1" t="s">
        <v>43</v>
      </c>
      <c r="K1" s="1" t="s">
        <v>44</v>
      </c>
      <c r="L1" s="1" t="s">
        <v>45</v>
      </c>
      <c r="M1" s="1" t="s">
        <v>46</v>
      </c>
      <c r="N1" s="1" t="s">
        <v>50</v>
      </c>
    </row>
    <row r="2" spans="1:14">
      <c r="A2" s="1" t="s">
        <v>14</v>
      </c>
      <c r="B2" s="1">
        <v>2007</v>
      </c>
      <c r="C2" s="1">
        <v>49</v>
      </c>
      <c r="D2" s="1">
        <v>15.8</v>
      </c>
      <c r="E2" s="1">
        <v>4.7</v>
      </c>
      <c r="F2" s="1">
        <v>10</v>
      </c>
      <c r="G2" s="1">
        <v>49</v>
      </c>
      <c r="H2" s="1">
        <v>50528584</v>
      </c>
      <c r="I2" s="1">
        <v>333077117253.684</v>
      </c>
      <c r="J2" s="4">
        <v>4700000</v>
      </c>
      <c r="K2" s="1">
        <v>370000</v>
      </c>
      <c r="L2" s="5">
        <v>3000000</v>
      </c>
      <c r="M2" s="1"/>
      <c r="N2" s="3">
        <f>ROUND((J2/H2)*1000,2)</f>
        <v>93.02</v>
      </c>
    </row>
    <row r="3" spans="1:14">
      <c r="A3" s="1" t="s">
        <v>14</v>
      </c>
      <c r="B3" s="1">
        <v>2008</v>
      </c>
      <c r="C3" s="1">
        <v>63</v>
      </c>
      <c r="D3" s="1">
        <v>15.3</v>
      </c>
      <c r="E3" s="1">
        <v>4.5</v>
      </c>
      <c r="F3" s="1">
        <v>14</v>
      </c>
      <c r="G3" s="1">
        <v>63</v>
      </c>
      <c r="H3" s="1">
        <v>51114599</v>
      </c>
      <c r="I3" s="1">
        <v>316131258616.309</v>
      </c>
      <c r="J3" s="4">
        <v>4900000</v>
      </c>
      <c r="K3" s="1">
        <v>360000</v>
      </c>
      <c r="L3" s="5">
        <v>3100000</v>
      </c>
      <c r="M3" s="1"/>
      <c r="N3" s="3">
        <f t="shared" ref="N3:N31" si="0">ROUND((J3/H3)*1000,2)</f>
        <v>95.86</v>
      </c>
    </row>
    <row r="4" spans="1:14">
      <c r="A4" s="1" t="s">
        <v>14</v>
      </c>
      <c r="B4" s="1">
        <v>2009</v>
      </c>
      <c r="C4" s="1">
        <v>79</v>
      </c>
      <c r="D4" s="1">
        <v>14.8</v>
      </c>
      <c r="E4" s="1">
        <v>4.4</v>
      </c>
      <c r="F4" s="1">
        <v>19</v>
      </c>
      <c r="G4" s="1">
        <v>79</v>
      </c>
      <c r="H4" s="1">
        <v>51728516</v>
      </c>
      <c r="I4" s="1">
        <v>329754060647.129</v>
      </c>
      <c r="J4" s="4">
        <v>5100000</v>
      </c>
      <c r="K4" s="1">
        <v>340000</v>
      </c>
      <c r="L4" s="5">
        <v>3300000</v>
      </c>
      <c r="M4" s="1"/>
      <c r="N4" s="3">
        <f t="shared" si="0"/>
        <v>98.59</v>
      </c>
    </row>
    <row r="5" spans="1:14">
      <c r="A5" s="1" t="s">
        <v>14</v>
      </c>
      <c r="B5" s="1">
        <v>2010</v>
      </c>
      <c r="C5" s="1">
        <v>93</v>
      </c>
      <c r="D5" s="1">
        <v>14.3</v>
      </c>
      <c r="E5" s="1">
        <v>4.3</v>
      </c>
      <c r="F5" s="1">
        <v>25</v>
      </c>
      <c r="G5" s="1">
        <v>93</v>
      </c>
      <c r="H5" s="1">
        <v>52344051</v>
      </c>
      <c r="I5" s="1">
        <v>417363822801.713</v>
      </c>
      <c r="J5" s="4">
        <v>5300000</v>
      </c>
      <c r="K5" s="1">
        <v>310000</v>
      </c>
      <c r="L5" s="5">
        <v>3400000</v>
      </c>
      <c r="M5" s="5">
        <v>8</v>
      </c>
      <c r="N5" s="3">
        <f t="shared" si="0"/>
        <v>101.25</v>
      </c>
    </row>
    <row r="6" spans="1:14">
      <c r="A6" s="1" t="s">
        <v>14</v>
      </c>
      <c r="B6" s="1">
        <v>2011</v>
      </c>
      <c r="C6" s="1">
        <v>100</v>
      </c>
      <c r="D6" s="1">
        <v>13.9</v>
      </c>
      <c r="E6" s="1">
        <v>4.2</v>
      </c>
      <c r="F6" s="1">
        <v>33</v>
      </c>
      <c r="G6" s="1">
        <v>100</v>
      </c>
      <c r="H6" s="1">
        <v>52995205</v>
      </c>
      <c r="I6" s="1">
        <v>458199494830.834</v>
      </c>
      <c r="J6" s="4">
        <v>5500000</v>
      </c>
      <c r="K6" s="1">
        <v>280000</v>
      </c>
      <c r="L6" s="5">
        <v>3500000</v>
      </c>
      <c r="M6" s="5">
        <v>6</v>
      </c>
      <c r="N6" s="3">
        <f t="shared" si="0"/>
        <v>103.78</v>
      </c>
    </row>
    <row r="7" spans="1:14">
      <c r="A7" s="1" t="s">
        <v>14</v>
      </c>
      <c r="B7" s="1">
        <v>2012</v>
      </c>
      <c r="C7" s="1">
        <v>100</v>
      </c>
      <c r="D7" s="1">
        <v>13.5</v>
      </c>
      <c r="E7" s="1">
        <v>4.1</v>
      </c>
      <c r="F7" s="1">
        <v>40</v>
      </c>
      <c r="G7" s="1">
        <v>100</v>
      </c>
      <c r="H7" s="1">
        <v>53782567</v>
      </c>
      <c r="I7" s="1">
        <v>434400545085.811</v>
      </c>
      <c r="J7" s="4">
        <v>5700000</v>
      </c>
      <c r="K7" s="1">
        <v>240000</v>
      </c>
      <c r="L7" s="5">
        <v>3700000</v>
      </c>
      <c r="M7" s="5">
        <v>5</v>
      </c>
      <c r="N7" s="3">
        <f t="shared" si="0"/>
        <v>105.98</v>
      </c>
    </row>
    <row r="8" spans="1:14">
      <c r="A8" s="1" t="s">
        <v>14</v>
      </c>
      <c r="B8" s="1">
        <v>2013</v>
      </c>
      <c r="C8" s="1">
        <v>100</v>
      </c>
      <c r="D8" s="1">
        <v>13.1</v>
      </c>
      <c r="E8" s="1">
        <v>4.1</v>
      </c>
      <c r="F8" s="1">
        <v>45</v>
      </c>
      <c r="G8" s="1">
        <v>100</v>
      </c>
      <c r="H8" s="1">
        <v>54678791</v>
      </c>
      <c r="I8" s="1">
        <v>400886013595.573</v>
      </c>
      <c r="J8" s="4">
        <v>5900000</v>
      </c>
      <c r="K8" s="1">
        <v>200000</v>
      </c>
      <c r="L8" s="5">
        <v>3800000</v>
      </c>
      <c r="M8" s="5">
        <v>5</v>
      </c>
      <c r="N8" s="3">
        <f t="shared" si="0"/>
        <v>107.9</v>
      </c>
    </row>
    <row r="9" spans="1:14">
      <c r="A9" s="1" t="s">
        <v>14</v>
      </c>
      <c r="B9" s="1">
        <v>2014</v>
      </c>
      <c r="C9" s="1">
        <v>100</v>
      </c>
      <c r="D9" s="1">
        <v>12.9</v>
      </c>
      <c r="E9" s="1">
        <v>4.1</v>
      </c>
      <c r="F9" s="1">
        <v>49</v>
      </c>
      <c r="G9" s="1">
        <v>100</v>
      </c>
      <c r="H9" s="1">
        <v>55594838</v>
      </c>
      <c r="I9" s="1">
        <v>381198869776.106</v>
      </c>
      <c r="J9" s="4">
        <v>6200000</v>
      </c>
      <c r="K9" s="1">
        <v>170000</v>
      </c>
      <c r="L9" s="5">
        <v>4000000</v>
      </c>
      <c r="M9" s="5">
        <v>4</v>
      </c>
      <c r="N9" s="3">
        <f t="shared" si="0"/>
        <v>111.52</v>
      </c>
    </row>
    <row r="10" spans="1:14">
      <c r="A10" s="1" t="s">
        <v>14</v>
      </c>
      <c r="B10" s="1">
        <v>2015</v>
      </c>
      <c r="C10" s="1">
        <v>95</v>
      </c>
      <c r="D10" s="1">
        <v>12.6</v>
      </c>
      <c r="E10" s="1">
        <v>4.2</v>
      </c>
      <c r="F10" s="1">
        <v>54</v>
      </c>
      <c r="G10" s="1">
        <v>95</v>
      </c>
      <c r="H10" s="1">
        <v>56723537</v>
      </c>
      <c r="I10" s="1">
        <v>346709790458.563</v>
      </c>
      <c r="J10" s="4">
        <v>6400000</v>
      </c>
      <c r="K10" s="1">
        <v>150000</v>
      </c>
      <c r="L10" s="5">
        <v>4100000</v>
      </c>
      <c r="M10" s="5">
        <v>4</v>
      </c>
      <c r="N10" s="3">
        <f t="shared" si="0"/>
        <v>112.83</v>
      </c>
    </row>
    <row r="11" spans="1:14">
      <c r="A11" s="1" t="s">
        <v>14</v>
      </c>
      <c r="B11" s="1">
        <v>2016</v>
      </c>
      <c r="C11" s="1">
        <v>93</v>
      </c>
      <c r="D11" s="1">
        <v>12.4</v>
      </c>
      <c r="E11" s="1">
        <v>4.2</v>
      </c>
      <c r="F11" s="1">
        <v>60</v>
      </c>
      <c r="G11" s="1">
        <v>93</v>
      </c>
      <c r="H11" s="1">
        <v>57259551</v>
      </c>
      <c r="I11" s="1">
        <v>323585509674.481</v>
      </c>
      <c r="J11" s="4">
        <v>6600000</v>
      </c>
      <c r="K11" s="1">
        <v>130000</v>
      </c>
      <c r="L11" s="5">
        <v>4300000</v>
      </c>
      <c r="M11" s="5">
        <v>4</v>
      </c>
      <c r="N11" s="3">
        <f t="shared" si="0"/>
        <v>115.26</v>
      </c>
    </row>
    <row r="12" spans="1:14">
      <c r="A12" s="1" t="s">
        <v>30</v>
      </c>
      <c r="B12" s="1">
        <v>2007</v>
      </c>
      <c r="C12" s="1">
        <v>3.6</v>
      </c>
      <c r="D12" s="1">
        <v>1.3</v>
      </c>
      <c r="E12" s="1">
        <v>6</v>
      </c>
      <c r="F12" s="1">
        <v>13</v>
      </c>
      <c r="G12" s="1">
        <v>57</v>
      </c>
      <c r="H12" s="1">
        <v>38036349</v>
      </c>
      <c r="I12" s="1">
        <v>31958195182.2406</v>
      </c>
      <c r="J12" s="4">
        <v>1200000</v>
      </c>
      <c r="K12" s="1">
        <v>64000</v>
      </c>
      <c r="L12" s="5">
        <v>760000</v>
      </c>
      <c r="M12" s="1"/>
      <c r="N12" s="3">
        <f t="shared" si="0"/>
        <v>31.55</v>
      </c>
    </row>
    <row r="13" spans="1:14">
      <c r="A13" s="1" t="s">
        <v>30</v>
      </c>
      <c r="B13" s="1">
        <v>2008</v>
      </c>
      <c r="C13" s="1">
        <v>3.5</v>
      </c>
      <c r="D13" s="1">
        <v>1.4</v>
      </c>
      <c r="E13" s="1">
        <v>5.8</v>
      </c>
      <c r="F13" s="1">
        <v>18</v>
      </c>
      <c r="G13" s="1">
        <v>76</v>
      </c>
      <c r="H13" s="1">
        <v>39206351</v>
      </c>
      <c r="I13" s="1">
        <v>35895153327.8497</v>
      </c>
      <c r="J13" s="4">
        <v>1200000</v>
      </c>
      <c r="K13" s="1">
        <v>61000</v>
      </c>
      <c r="L13" s="5">
        <v>760000</v>
      </c>
      <c r="M13" s="1"/>
      <c r="N13" s="3">
        <f t="shared" si="0"/>
        <v>30.61</v>
      </c>
    </row>
    <row r="14" spans="1:14">
      <c r="A14" s="1" t="s">
        <v>30</v>
      </c>
      <c r="B14" s="1">
        <v>2009</v>
      </c>
      <c r="C14" s="1">
        <v>3.4</v>
      </c>
      <c r="D14" s="1">
        <v>1.4</v>
      </c>
      <c r="E14" s="1">
        <v>5.6</v>
      </c>
      <c r="F14" s="1">
        <v>24</v>
      </c>
      <c r="G14" s="1">
        <v>78</v>
      </c>
      <c r="H14" s="1">
        <v>40408891</v>
      </c>
      <c r="I14" s="1">
        <v>42347217912.9176</v>
      </c>
      <c r="J14" s="4">
        <v>1200000</v>
      </c>
      <c r="K14" s="1">
        <v>58000</v>
      </c>
      <c r="L14" s="5">
        <v>750000</v>
      </c>
      <c r="M14" s="1"/>
      <c r="N14" s="3">
        <f t="shared" si="0"/>
        <v>29.7</v>
      </c>
    </row>
    <row r="15" spans="1:14">
      <c r="A15" s="1" t="s">
        <v>30</v>
      </c>
      <c r="B15" s="1">
        <v>2010</v>
      </c>
      <c r="C15" s="1">
        <v>3.3</v>
      </c>
      <c r="D15" s="1">
        <v>1.5</v>
      </c>
      <c r="E15" s="1">
        <v>5.5</v>
      </c>
      <c r="F15" s="1">
        <v>31</v>
      </c>
      <c r="G15" s="1">
        <v>50</v>
      </c>
      <c r="H15" s="1">
        <v>41598567</v>
      </c>
      <c r="I15" s="1">
        <v>45405615063.7551</v>
      </c>
      <c r="J15" s="4">
        <v>1200000</v>
      </c>
      <c r="K15" s="1">
        <v>54000</v>
      </c>
      <c r="L15" s="5">
        <v>760000</v>
      </c>
      <c r="M15" s="5">
        <v>20</v>
      </c>
      <c r="N15" s="3">
        <f t="shared" si="0"/>
        <v>28.85</v>
      </c>
    </row>
    <row r="16" spans="1:14">
      <c r="A16" s="5" t="s">
        <v>30</v>
      </c>
      <c r="B16" s="1">
        <v>2011</v>
      </c>
      <c r="C16" s="1">
        <v>3.3</v>
      </c>
      <c r="D16" s="1">
        <v>1.6</v>
      </c>
      <c r="E16" s="1">
        <v>5.3</v>
      </c>
      <c r="F16" s="1">
        <v>38</v>
      </c>
      <c r="G16" s="1">
        <v>69</v>
      </c>
      <c r="H16" s="1">
        <v>42758461</v>
      </c>
      <c r="I16" s="1">
        <v>46869473150.61</v>
      </c>
      <c r="J16" s="4">
        <v>1200000</v>
      </c>
      <c r="K16" s="1">
        <v>50000</v>
      </c>
      <c r="L16" s="5">
        <v>760000</v>
      </c>
      <c r="M16" s="5">
        <v>16</v>
      </c>
      <c r="N16" s="3">
        <f t="shared" si="0"/>
        <v>28.06</v>
      </c>
    </row>
    <row r="17" spans="1:14">
      <c r="A17" s="5" t="s">
        <v>30</v>
      </c>
      <c r="B17" s="1">
        <v>2012</v>
      </c>
      <c r="C17" s="1">
        <v>3.2</v>
      </c>
      <c r="D17" s="1">
        <v>1.6</v>
      </c>
      <c r="E17" s="1">
        <v>5.2</v>
      </c>
      <c r="F17" s="1">
        <v>43</v>
      </c>
      <c r="G17" s="1">
        <v>57</v>
      </c>
      <c r="H17" s="1">
        <v>43888303</v>
      </c>
      <c r="I17" s="1">
        <v>56396704671.5777</v>
      </c>
      <c r="J17" s="4">
        <v>1200000</v>
      </c>
      <c r="K17" s="1">
        <v>46000</v>
      </c>
      <c r="L17" s="5">
        <v>770000</v>
      </c>
      <c r="M17" s="5">
        <v>19</v>
      </c>
      <c r="N17" s="3">
        <f t="shared" si="0"/>
        <v>27.34</v>
      </c>
    </row>
    <row r="18" spans="1:14">
      <c r="A18" s="5" t="s">
        <v>30</v>
      </c>
      <c r="B18" s="1">
        <v>2013</v>
      </c>
      <c r="C18" s="1">
        <v>3.1</v>
      </c>
      <c r="D18" s="1">
        <v>1.6</v>
      </c>
      <c r="E18" s="1">
        <v>5</v>
      </c>
      <c r="F18" s="1">
        <v>47</v>
      </c>
      <c r="G18" s="1">
        <v>59</v>
      </c>
      <c r="H18" s="1">
        <v>44986791</v>
      </c>
      <c r="I18" s="1">
        <v>61671440407.8387</v>
      </c>
      <c r="J18" s="4">
        <v>1200000</v>
      </c>
      <c r="K18" s="1">
        <v>42000</v>
      </c>
      <c r="L18" s="5">
        <v>780000</v>
      </c>
      <c r="M18" s="5">
        <v>18</v>
      </c>
      <c r="N18" s="3">
        <f t="shared" si="0"/>
        <v>26.67</v>
      </c>
    </row>
    <row r="19" spans="1:14">
      <c r="A19" s="5" t="s">
        <v>30</v>
      </c>
      <c r="B19" s="1">
        <v>2014</v>
      </c>
      <c r="C19" s="1">
        <v>2.9</v>
      </c>
      <c r="D19" s="1">
        <v>1.6</v>
      </c>
      <c r="E19" s="1">
        <v>4.9</v>
      </c>
      <c r="F19" s="1">
        <v>54</v>
      </c>
      <c r="G19" s="1">
        <v>70</v>
      </c>
      <c r="H19" s="1">
        <v>46051440</v>
      </c>
      <c r="I19" s="1">
        <v>68285796514.2896</v>
      </c>
      <c r="J19" s="4">
        <v>1200000</v>
      </c>
      <c r="K19" s="1">
        <v>39000</v>
      </c>
      <c r="L19" s="5">
        <v>790000</v>
      </c>
      <c r="M19" s="5">
        <v>16</v>
      </c>
      <c r="N19" s="3">
        <f t="shared" si="0"/>
        <v>26.06</v>
      </c>
    </row>
    <row r="20" spans="1:14">
      <c r="A20" s="5" t="s">
        <v>30</v>
      </c>
      <c r="B20" s="1">
        <v>2015</v>
      </c>
      <c r="C20" s="1">
        <v>2.8</v>
      </c>
      <c r="D20" s="1">
        <v>1.6</v>
      </c>
      <c r="E20" s="1">
        <v>4.7</v>
      </c>
      <c r="F20" s="1">
        <v>65</v>
      </c>
      <c r="G20" s="1">
        <v>90</v>
      </c>
      <c r="H20" s="1">
        <v>47088526</v>
      </c>
      <c r="I20" s="1">
        <v>70120446896.8359</v>
      </c>
      <c r="J20" s="4">
        <v>1200000</v>
      </c>
      <c r="K20" s="1">
        <v>36000</v>
      </c>
      <c r="L20" s="5">
        <v>800000</v>
      </c>
      <c r="M20" s="5">
        <v>10</v>
      </c>
      <c r="N20" s="3">
        <f t="shared" si="0"/>
        <v>25.48</v>
      </c>
    </row>
    <row r="21" spans="1:14">
      <c r="A21" s="5" t="s">
        <v>30</v>
      </c>
      <c r="B21" s="1">
        <v>2016</v>
      </c>
      <c r="C21" s="1">
        <v>2.6</v>
      </c>
      <c r="D21" s="1">
        <v>1.5</v>
      </c>
      <c r="E21" s="1">
        <v>4.5</v>
      </c>
      <c r="F21" s="1">
        <v>74</v>
      </c>
      <c r="G21" s="1">
        <v>92</v>
      </c>
      <c r="H21" s="1">
        <v>48139687</v>
      </c>
      <c r="I21" s="1">
        <v>74815144163.8931</v>
      </c>
      <c r="J21" s="4">
        <v>1300000</v>
      </c>
      <c r="K21" s="1">
        <v>33000</v>
      </c>
      <c r="L21" s="5">
        <v>800000</v>
      </c>
      <c r="M21" s="5">
        <v>9</v>
      </c>
      <c r="N21" s="3">
        <f t="shared" si="0"/>
        <v>27</v>
      </c>
    </row>
    <row r="22" spans="1:14">
      <c r="A22" s="5" t="s">
        <v>32</v>
      </c>
      <c r="B22" s="1">
        <v>2007</v>
      </c>
      <c r="C22" s="1">
        <v>12.8</v>
      </c>
      <c r="D22" s="1">
        <v>4.5</v>
      </c>
      <c r="E22" s="1">
        <v>23.6</v>
      </c>
      <c r="F22" s="1">
        <v>29</v>
      </c>
      <c r="G22" s="1">
        <v>78</v>
      </c>
      <c r="H22" s="1">
        <v>1911201</v>
      </c>
      <c r="I22" s="1">
        <v>10567270655.5027</v>
      </c>
      <c r="J22" s="4">
        <v>4700000</v>
      </c>
      <c r="K22" s="1">
        <v>11000</v>
      </c>
      <c r="L22" s="5">
        <v>170000</v>
      </c>
      <c r="M22" s="1"/>
      <c r="N22" s="3">
        <f t="shared" si="0"/>
        <v>2459.19</v>
      </c>
    </row>
    <row r="23" spans="1:14">
      <c r="A23" s="5" t="s">
        <v>32</v>
      </c>
      <c r="B23" s="1">
        <v>2008</v>
      </c>
      <c r="C23" s="1">
        <v>12</v>
      </c>
      <c r="D23" s="1">
        <v>4.4</v>
      </c>
      <c r="E23" s="1">
        <v>23.4</v>
      </c>
      <c r="F23" s="1">
        <v>36</v>
      </c>
      <c r="G23" s="1">
        <v>79</v>
      </c>
      <c r="H23" s="1">
        <v>1949970</v>
      </c>
      <c r="I23" s="1">
        <v>10730829116.4105</v>
      </c>
      <c r="J23" s="4">
        <v>4900000</v>
      </c>
      <c r="K23" s="1">
        <v>9800</v>
      </c>
      <c r="L23" s="5">
        <v>170000</v>
      </c>
      <c r="M23" s="1"/>
      <c r="N23" s="3">
        <f t="shared" si="0"/>
        <v>2512.86</v>
      </c>
    </row>
    <row r="24" spans="1:14">
      <c r="A24" s="5" t="s">
        <v>32</v>
      </c>
      <c r="B24" s="1">
        <v>2009</v>
      </c>
      <c r="C24" s="1">
        <v>11.4</v>
      </c>
      <c r="D24" s="1">
        <v>4.3</v>
      </c>
      <c r="E24" s="1">
        <v>23.2</v>
      </c>
      <c r="F24" s="1">
        <v>44</v>
      </c>
      <c r="G24" s="1">
        <v>88</v>
      </c>
      <c r="H24" s="1">
        <v>1990673</v>
      </c>
      <c r="I24" s="1">
        <v>10118459242.3183</v>
      </c>
      <c r="J24" s="4">
        <v>5100000</v>
      </c>
      <c r="K24" s="1">
        <v>8500</v>
      </c>
      <c r="L24" s="5">
        <v>180000</v>
      </c>
      <c r="M24" s="1"/>
      <c r="N24" s="3">
        <f t="shared" si="0"/>
        <v>2561.95</v>
      </c>
    </row>
    <row r="25" spans="1:14">
      <c r="A25" s="5" t="s">
        <v>32</v>
      </c>
      <c r="B25" s="1">
        <v>2010</v>
      </c>
      <c r="C25" s="1">
        <v>10.9</v>
      </c>
      <c r="D25" s="1">
        <v>4.3</v>
      </c>
      <c r="E25" s="1">
        <v>23</v>
      </c>
      <c r="F25" s="1">
        <v>49</v>
      </c>
      <c r="G25" s="1">
        <v>79</v>
      </c>
      <c r="H25" s="1">
        <v>2033111</v>
      </c>
      <c r="I25" s="1">
        <v>12637273429.1339</v>
      </c>
      <c r="J25" s="4">
        <v>5300000</v>
      </c>
      <c r="K25" s="1">
        <v>7100</v>
      </c>
      <c r="L25" s="5">
        <v>180000</v>
      </c>
      <c r="M25" s="5">
        <v>8</v>
      </c>
      <c r="N25" s="3">
        <f t="shared" si="0"/>
        <v>2606.84</v>
      </c>
    </row>
    <row r="26" spans="1:14">
      <c r="A26" s="5" t="s">
        <v>32</v>
      </c>
      <c r="B26" s="1">
        <v>2011</v>
      </c>
      <c r="C26" s="1">
        <v>10.7</v>
      </c>
      <c r="D26" s="1">
        <v>4.3</v>
      </c>
      <c r="E26" s="1">
        <v>22.8</v>
      </c>
      <c r="F26" s="1">
        <v>54</v>
      </c>
      <c r="G26" s="1">
        <v>70</v>
      </c>
      <c r="H26" s="1">
        <v>2073535</v>
      </c>
      <c r="I26" s="1">
        <v>15110643612.1729</v>
      </c>
      <c r="J26" s="4">
        <v>5500000</v>
      </c>
      <c r="K26" s="1">
        <v>5900</v>
      </c>
      <c r="L26" s="5">
        <v>190000</v>
      </c>
      <c r="M26" s="5">
        <v>10</v>
      </c>
      <c r="N26" s="3">
        <f t="shared" si="0"/>
        <v>2652.48</v>
      </c>
    </row>
    <row r="27" spans="1:14">
      <c r="A27" s="5" t="s">
        <v>32</v>
      </c>
      <c r="B27" s="1">
        <v>2012</v>
      </c>
      <c r="C27" s="1">
        <v>10.5</v>
      </c>
      <c r="D27" s="1">
        <v>4.4</v>
      </c>
      <c r="E27" s="1">
        <v>22.7</v>
      </c>
      <c r="F27" s="1">
        <v>61</v>
      </c>
      <c r="G27" s="1">
        <v>89</v>
      </c>
      <c r="H27" s="1">
        <v>2108617</v>
      </c>
      <c r="I27" s="1">
        <v>13907464500.1489</v>
      </c>
      <c r="J27" s="4">
        <v>5700000</v>
      </c>
      <c r="K27" s="1">
        <v>4800</v>
      </c>
      <c r="L27" s="5">
        <v>190000</v>
      </c>
      <c r="M27" s="5">
        <v>6</v>
      </c>
      <c r="N27" s="3">
        <f t="shared" si="0"/>
        <v>2703.19</v>
      </c>
    </row>
    <row r="28" spans="1:14">
      <c r="A28" s="5" t="s">
        <v>32</v>
      </c>
      <c r="B28" s="1">
        <v>2013</v>
      </c>
      <c r="C28" s="1">
        <v>10.3</v>
      </c>
      <c r="D28" s="1">
        <v>4.5</v>
      </c>
      <c r="E28" s="1">
        <v>22.4</v>
      </c>
      <c r="F28" s="1">
        <v>65</v>
      </c>
      <c r="G28" s="1">
        <v>91</v>
      </c>
      <c r="H28" s="1">
        <v>2140682</v>
      </c>
      <c r="I28" s="1">
        <v>14271738933.2042</v>
      </c>
      <c r="J28" s="4">
        <v>5900000</v>
      </c>
      <c r="K28" s="1">
        <v>4100</v>
      </c>
      <c r="L28" s="5">
        <v>190000</v>
      </c>
      <c r="M28" s="5">
        <v>4</v>
      </c>
      <c r="N28" s="3">
        <f t="shared" si="0"/>
        <v>2756.13</v>
      </c>
    </row>
    <row r="29" spans="1:14">
      <c r="A29" s="5" t="s">
        <v>32</v>
      </c>
      <c r="B29" s="1">
        <v>2014</v>
      </c>
      <c r="C29" s="1">
        <v>10.2</v>
      </c>
      <c r="D29" s="1">
        <v>4.6</v>
      </c>
      <c r="E29" s="1">
        <v>22.1</v>
      </c>
      <c r="F29" s="1">
        <v>67</v>
      </c>
      <c r="G29" s="1">
        <v>84</v>
      </c>
      <c r="H29" s="1">
        <v>2172044</v>
      </c>
      <c r="I29" s="1">
        <v>15470088500.7414</v>
      </c>
      <c r="J29" s="4">
        <v>6200000</v>
      </c>
      <c r="K29" s="1">
        <v>3500</v>
      </c>
      <c r="L29" s="5">
        <v>200000</v>
      </c>
      <c r="M29" s="5">
        <v>6</v>
      </c>
      <c r="N29" s="3">
        <f t="shared" si="0"/>
        <v>2854.45</v>
      </c>
    </row>
    <row r="30" spans="1:14">
      <c r="A30" s="5" t="s">
        <v>32</v>
      </c>
      <c r="B30" s="1">
        <v>2015</v>
      </c>
      <c r="C30" s="1">
        <v>10.1</v>
      </c>
      <c r="D30" s="1">
        <v>4.6</v>
      </c>
      <c r="E30" s="1">
        <v>21.8</v>
      </c>
      <c r="F30" s="1">
        <v>72</v>
      </c>
      <c r="G30" s="1">
        <v>88</v>
      </c>
      <c r="H30" s="1">
        <v>2203273</v>
      </c>
      <c r="I30" s="1">
        <v>13530748844.505</v>
      </c>
      <c r="J30" s="4">
        <v>6400000</v>
      </c>
      <c r="K30" s="1">
        <v>3100</v>
      </c>
      <c r="L30" s="5">
        <v>200000</v>
      </c>
      <c r="M30" s="5">
        <v>5</v>
      </c>
      <c r="N30" s="3">
        <f t="shared" si="0"/>
        <v>2904.77</v>
      </c>
    </row>
    <row r="31" spans="1:14">
      <c r="A31" s="5" t="s">
        <v>32</v>
      </c>
      <c r="B31" s="1">
        <v>2016</v>
      </c>
      <c r="C31" s="1">
        <v>9.9</v>
      </c>
      <c r="D31" s="1">
        <v>4.6</v>
      </c>
      <c r="E31" s="1">
        <v>21.4</v>
      </c>
      <c r="F31" s="1">
        <v>76</v>
      </c>
      <c r="G31" s="1">
        <v>87</v>
      </c>
      <c r="H31" s="1">
        <v>2234776</v>
      </c>
      <c r="I31" s="1">
        <v>15082637184.0496</v>
      </c>
      <c r="J31" s="4">
        <v>6600000</v>
      </c>
      <c r="K31" s="1">
        <v>2800</v>
      </c>
      <c r="L31" s="5">
        <v>210000</v>
      </c>
      <c r="M31" s="5">
        <v>5</v>
      </c>
      <c r="N31" s="3">
        <f t="shared" si="0"/>
        <v>2953.32</v>
      </c>
    </row>
    <row r="32" spans="1:14">
      <c r="A32" s="1"/>
      <c r="B32" s="1"/>
      <c r="C32" s="1"/>
      <c r="D32" s="1"/>
      <c r="E32" s="1"/>
      <c r="F32" s="1"/>
      <c r="G32" s="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1"/>
  <sheetViews>
    <sheetView zoomScale="52" zoomScaleNormal="52" topLeftCell="A103" workbookViewId="0">
      <selection activeCell="L131" sqref="L131"/>
    </sheetView>
  </sheetViews>
  <sheetFormatPr defaultColWidth="9.02654867256637" defaultRowHeight="13.5" outlineLevelCol="2"/>
  <cols>
    <col min="1" max="1" width="12.3008849557522" customWidth="1"/>
    <col min="3" max="3" width="22.0088495575221" customWidth="1"/>
  </cols>
  <sheetData>
    <row r="1" spans="1:3">
      <c r="A1" s="1"/>
      <c r="B1" s="1"/>
      <c r="C1" s="1"/>
    </row>
    <row r="71" spans="3:3">
      <c r="C71" t="s">
        <v>40</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workbookViewId="0">
      <selection activeCell="B17" sqref="$A1:$XFD1048576"/>
    </sheetView>
  </sheetViews>
  <sheetFormatPr defaultColWidth="9" defaultRowHeight="13.5" outlineLevelRow="7"/>
  <cols>
    <col min="1" max="1" width="15.8141592920354" style="1" customWidth="1"/>
    <col min="2" max="16" width="50.8141592920354" style="1" customWidth="1"/>
    <col min="17" max="16384" width="9" style="1"/>
  </cols>
  <sheetData>
    <row r="1" spans="1:16">
      <c r="A1" s="2" t="s">
        <v>51</v>
      </c>
      <c r="B1" s="2" t="s">
        <v>52</v>
      </c>
      <c r="C1" s="2" t="s">
        <v>53</v>
      </c>
      <c r="D1" s="2" t="s">
        <v>54</v>
      </c>
      <c r="E1" s="2" t="s">
        <v>55</v>
      </c>
      <c r="F1" s="2" t="s">
        <v>56</v>
      </c>
      <c r="G1" s="2" t="s">
        <v>57</v>
      </c>
      <c r="H1" s="2" t="s">
        <v>58</v>
      </c>
      <c r="I1" s="2" t="s">
        <v>59</v>
      </c>
      <c r="J1" s="2" t="s">
        <v>60</v>
      </c>
      <c r="K1" s="2" t="s">
        <v>61</v>
      </c>
      <c r="L1" s="2" t="s">
        <v>62</v>
      </c>
      <c r="M1" s="2" t="s">
        <v>63</v>
      </c>
      <c r="N1" s="2" t="s">
        <v>64</v>
      </c>
      <c r="O1" s="2" t="s">
        <v>65</v>
      </c>
      <c r="P1" s="2" t="s">
        <v>66</v>
      </c>
    </row>
    <row r="2" spans="1:16">
      <c r="A2" s="2" t="s">
        <v>17</v>
      </c>
      <c r="B2" s="2" t="s">
        <v>67</v>
      </c>
      <c r="C2" s="2" t="s">
        <v>16</v>
      </c>
      <c r="D2" s="2" t="s">
        <v>68</v>
      </c>
      <c r="E2" s="2" t="s">
        <v>69</v>
      </c>
      <c r="F2" s="2" t="s">
        <v>70</v>
      </c>
      <c r="G2" s="2" t="s">
        <v>71</v>
      </c>
      <c r="H2" s="2" t="s">
        <v>72</v>
      </c>
      <c r="I2" s="2" t="s">
        <v>73</v>
      </c>
      <c r="J2" s="2" t="s">
        <v>74</v>
      </c>
      <c r="K2" s="2" t="s">
        <v>75</v>
      </c>
      <c r="L2" s="2" t="s">
        <v>76</v>
      </c>
      <c r="M2" s="2" t="s">
        <v>77</v>
      </c>
      <c r="N2" s="2" t="s">
        <v>78</v>
      </c>
      <c r="O2" s="2" t="s">
        <v>79</v>
      </c>
      <c r="P2" s="2" t="s">
        <v>80</v>
      </c>
    </row>
    <row r="3" spans="1:16">
      <c r="A3" s="2" t="s">
        <v>19</v>
      </c>
      <c r="B3" s="2" t="s">
        <v>67</v>
      </c>
      <c r="C3" s="2" t="s">
        <v>18</v>
      </c>
      <c r="D3" s="2" t="s">
        <v>81</v>
      </c>
      <c r="E3" s="2" t="s">
        <v>82</v>
      </c>
      <c r="F3" s="2" t="s">
        <v>83</v>
      </c>
      <c r="G3" s="2" t="s">
        <v>71</v>
      </c>
      <c r="H3" s="2" t="s">
        <v>84</v>
      </c>
      <c r="I3" s="2" t="s">
        <v>73</v>
      </c>
      <c r="J3" s="2" t="s">
        <v>74</v>
      </c>
      <c r="K3" s="2" t="s">
        <v>85</v>
      </c>
      <c r="L3" s="2" t="s">
        <v>86</v>
      </c>
      <c r="M3" s="2" t="s">
        <v>87</v>
      </c>
      <c r="N3" s="2" t="s">
        <v>88</v>
      </c>
      <c r="O3" s="2"/>
      <c r="P3" s="2" t="s">
        <v>80</v>
      </c>
    </row>
    <row r="4" spans="1:16">
      <c r="A4" s="2" t="s">
        <v>21</v>
      </c>
      <c r="B4" s="2" t="s">
        <v>67</v>
      </c>
      <c r="C4" s="2" t="s">
        <v>20</v>
      </c>
      <c r="D4" s="2" t="s">
        <v>89</v>
      </c>
      <c r="E4" s="2" t="s">
        <v>90</v>
      </c>
      <c r="F4" s="2" t="s">
        <v>91</v>
      </c>
      <c r="G4" s="2" t="s">
        <v>71</v>
      </c>
      <c r="H4" s="2"/>
      <c r="I4" s="2" t="s">
        <v>73</v>
      </c>
      <c r="J4" s="2" t="s">
        <v>92</v>
      </c>
      <c r="K4" s="2" t="s">
        <v>93</v>
      </c>
      <c r="L4" s="2" t="s">
        <v>94</v>
      </c>
      <c r="M4" s="2" t="s">
        <v>95</v>
      </c>
      <c r="N4" s="2" t="s">
        <v>96</v>
      </c>
      <c r="O4" s="2"/>
      <c r="P4" s="2" t="s">
        <v>80</v>
      </c>
    </row>
    <row r="5" spans="1:16">
      <c r="A5" s="2" t="s">
        <v>23</v>
      </c>
      <c r="B5" s="2" t="s">
        <v>67</v>
      </c>
      <c r="C5" s="2" t="s">
        <v>22</v>
      </c>
      <c r="D5" s="2" t="s">
        <v>97</v>
      </c>
      <c r="E5" s="2" t="s">
        <v>90</v>
      </c>
      <c r="F5" s="2" t="s">
        <v>91</v>
      </c>
      <c r="G5" s="2" t="s">
        <v>71</v>
      </c>
      <c r="H5" s="2" t="s">
        <v>98</v>
      </c>
      <c r="I5" s="2" t="s">
        <v>73</v>
      </c>
      <c r="J5" s="2" t="s">
        <v>92</v>
      </c>
      <c r="K5" s="2" t="s">
        <v>93</v>
      </c>
      <c r="L5" s="2" t="s">
        <v>99</v>
      </c>
      <c r="M5" s="2" t="s">
        <v>100</v>
      </c>
      <c r="N5" s="2"/>
      <c r="O5" s="2"/>
      <c r="P5" s="2" t="s">
        <v>80</v>
      </c>
    </row>
    <row r="6" spans="1:16">
      <c r="A6" s="2" t="s">
        <v>25</v>
      </c>
      <c r="B6" s="2" t="s">
        <v>67</v>
      </c>
      <c r="C6" s="2" t="s">
        <v>24</v>
      </c>
      <c r="D6" s="2" t="s">
        <v>101</v>
      </c>
      <c r="E6" s="2" t="s">
        <v>90</v>
      </c>
      <c r="F6" s="2" t="s">
        <v>91</v>
      </c>
      <c r="G6" s="2" t="s">
        <v>71</v>
      </c>
      <c r="H6" s="2"/>
      <c r="I6" s="2" t="s">
        <v>73</v>
      </c>
      <c r="J6" s="2" t="s">
        <v>102</v>
      </c>
      <c r="K6" s="2" t="s">
        <v>93</v>
      </c>
      <c r="L6" s="2" t="s">
        <v>94</v>
      </c>
      <c r="M6" s="2" t="s">
        <v>103</v>
      </c>
      <c r="N6" s="2" t="s">
        <v>96</v>
      </c>
      <c r="O6" s="2" t="s">
        <v>104</v>
      </c>
      <c r="P6" s="2" t="s">
        <v>80</v>
      </c>
    </row>
    <row r="7" spans="1:16">
      <c r="A7" s="2" t="s">
        <v>27</v>
      </c>
      <c r="B7" s="2" t="s">
        <v>67</v>
      </c>
      <c r="C7" s="2" t="s">
        <v>26</v>
      </c>
      <c r="D7" s="2" t="s">
        <v>105</v>
      </c>
      <c r="E7" s="2" t="s">
        <v>90</v>
      </c>
      <c r="F7" s="2" t="s">
        <v>91</v>
      </c>
      <c r="G7" s="2" t="s">
        <v>71</v>
      </c>
      <c r="H7" s="2"/>
      <c r="I7" s="2" t="s">
        <v>73</v>
      </c>
      <c r="J7" s="2" t="s">
        <v>102</v>
      </c>
      <c r="K7" s="2" t="s">
        <v>93</v>
      </c>
      <c r="L7" s="2" t="s">
        <v>94</v>
      </c>
      <c r="M7" s="2" t="s">
        <v>103</v>
      </c>
      <c r="N7" s="2" t="s">
        <v>96</v>
      </c>
      <c r="O7" s="2" t="s">
        <v>106</v>
      </c>
      <c r="P7" s="2" t="s">
        <v>80</v>
      </c>
    </row>
    <row r="8" spans="1:16">
      <c r="A8" s="2" t="s">
        <v>29</v>
      </c>
      <c r="B8" s="2" t="s">
        <v>67</v>
      </c>
      <c r="C8" s="2" t="s">
        <v>28</v>
      </c>
      <c r="D8" s="2" t="s">
        <v>107</v>
      </c>
      <c r="E8" s="2" t="s">
        <v>90</v>
      </c>
      <c r="F8" s="2" t="s">
        <v>91</v>
      </c>
      <c r="G8" s="2" t="s">
        <v>71</v>
      </c>
      <c r="H8" s="2" t="s">
        <v>108</v>
      </c>
      <c r="I8" s="2" t="s">
        <v>73</v>
      </c>
      <c r="J8" s="2" t="s">
        <v>102</v>
      </c>
      <c r="K8" s="2" t="s">
        <v>93</v>
      </c>
      <c r="L8" s="2" t="s">
        <v>109</v>
      </c>
      <c r="M8" s="2" t="s">
        <v>110</v>
      </c>
      <c r="N8" s="2" t="s">
        <v>96</v>
      </c>
      <c r="O8" s="2"/>
      <c r="P8" s="2" t="s">
        <v>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Data</vt:lpstr>
      <vt:lpstr>Table 1HIV</vt:lpstr>
      <vt:lpstr>Table 2 Economic</vt:lpstr>
      <vt:lpstr>Table3</vt:lpstr>
      <vt:lpstr>Grafic</vt:lpstr>
      <vt:lpstr>Series -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Zmq</cp:lastModifiedBy>
  <dcterms:created xsi:type="dcterms:W3CDTF">2026-02-02T13:03:00Z</dcterms:created>
  <dcterms:modified xsi:type="dcterms:W3CDTF">2026-02-02T18:44:44Z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0745534080384D379DD62934ECA30311_12</vt:lpwstr>
  </property>
  <property fmtid="{D5CDD505-2E9C-101B-9397-08002B2CF9AE}" pid="3" name="KSOProductBuildVer">
    <vt:lpwstr>2052-12.1.0.24657</vt:lpwstr>
  </property>
  <property fmtid="{D5CDD505-2E9C-101B-9397-08002B2CF9AE}" pid="4" name="CalculationRule">
    <vt:i4>0</vt:i4>
  </property>
</Properties>
</file>